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611"/>
  <workbookPr codeName="Tento_zoši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a0d4d1b27afcb5a/! Kurzy/! Semináre^J Workshopy^J Akcie/! Ako sa stať Analytikom/"/>
    </mc:Choice>
  </mc:AlternateContent>
  <xr:revisionPtr revIDLastSave="1" documentId="8_{D3B07241-D231-44F3-86EA-027BD9C190F6}" xr6:coauthVersionLast="47" xr6:coauthVersionMax="47" xr10:uidLastSave="{EABBF1DA-CEDF-4CA0-9750-D1B7A6B7604D}"/>
  <bookViews>
    <workbookView minimized="1" xWindow="760" yWindow="760" windowWidth="14400" windowHeight="7360" xr2:uid="{DB00994B-A397-4983-840C-46713B283CF7}"/>
  </bookViews>
  <sheets>
    <sheet name="Dynamické Dopĺňanie" sheetId="2" r:id="rId1"/>
    <sheet name="Rýchla Analýza" sheetId="1" r:id="rId2"/>
    <sheet name="Hľadanie Riešenia" sheetId="3" r:id="rId3"/>
    <sheet name="Prac. tab.1" sheetId="9" r:id="rId4"/>
    <sheet name="Prac. tab. 2" sheetId="10" r:id="rId5"/>
    <sheet name="Cykly for NG" sheetId="4" r:id="rId6"/>
    <sheet name="Cykly OK" sheetId="8" r:id="rId7"/>
    <sheet name="Cykly while NG 2" sheetId="5" r:id="rId8"/>
    <sheet name="Cykly until NG 3" sheetId="6" r:id="rId9"/>
    <sheet name="Cykly NG 4" sheetId="7" r:id="rId10"/>
  </sheets>
  <externalReferences>
    <externalReference r:id="rId11"/>
    <externalReference r:id="rId12"/>
    <externalReference r:id="rId13"/>
    <externalReference r:id="rId14"/>
  </externalReferences>
  <definedNames>
    <definedName name="Celková_cena" comment="Moja názov Pre Celkovú cenu" localSheetId="5">#REF!</definedName>
    <definedName name="Celková_cena" comment="Moja názov Pre Celkovú cenu" localSheetId="9">#REF!</definedName>
    <definedName name="Celková_cena" comment="Moja názov Pre Celkovú cenu" localSheetId="8">#REF!</definedName>
    <definedName name="Celková_cena" comment="Moja názov Pre Celkovú cenu" localSheetId="7">#REF!</definedName>
    <definedName name="Cena_řeš">#REF!</definedName>
    <definedName name="Csl_nazev">[1]Csl!$E$1:$F$65536</definedName>
    <definedName name="DATA">'[2]INDEX a MATCH'!$C$3:$H$22</definedName>
    <definedName name="detail">#REF!</definedName>
    <definedName name="detail_res">[1]Out_res!$C$15</definedName>
    <definedName name="drill_string">#REF!</definedName>
    <definedName name="drill_string_res">[1]Src_res!$B$9</definedName>
    <definedName name="hotel" localSheetId="5">'[3]Cvičenie 2 - Data'!$A$2:$A$34</definedName>
    <definedName name="hotel" localSheetId="9">'[3]Cvičenie 2 - Data'!$A$2:$A$34</definedName>
    <definedName name="hotel" localSheetId="8">'[3]Cvičenie 2 - Data'!$A$2:$A$34</definedName>
    <definedName name="hotel" localSheetId="7">'[3]Cvičenie 2 - Data'!$A$2:$A$34</definedName>
    <definedName name="hotel">'[4]Cvičenie 2 - Data'!$A$2:$A$34</definedName>
    <definedName name="LINKY">'[2]INDEX a MATCH'!$C$2:$H$2</definedName>
    <definedName name="MESTA">'[2]INDEX a MATCH'!$B$3:$B$22</definedName>
    <definedName name="obdobi">#REF!</definedName>
    <definedName name="období_res">[1]Out_res!$K$13</definedName>
    <definedName name="Src">[1]Src!$Q$1:$AC$65536</definedName>
    <definedName name="Src_KT_řeš">#REF!</definedName>
    <definedName name="Src_kum">[1]Src!$AE$1:$AQ$65536</definedName>
    <definedName name="Src_obrat">[1]Src!$Q$1:$AC$65536</definedName>
    <definedName name="Src_res">[1]Src_res!$Q$1:$AC$65536</definedName>
    <definedName name="StlpecCena" localSheetId="5">#REF!</definedName>
    <definedName name="StlpecCena" localSheetId="9">#REF!</definedName>
    <definedName name="StlpecCena" localSheetId="8">#REF!</definedName>
    <definedName name="StlpecCena" localSheetId="7">#REF!</definedName>
    <definedName name="StlpecCena">#REF!</definedName>
    <definedName name="StlpecCena_s_DPH" localSheetId="5">#REF!</definedName>
    <definedName name="StlpecCena_s_DPH" localSheetId="9">#REF!</definedName>
    <definedName name="StlpecCena_s_DPH" localSheetId="8">#REF!</definedName>
    <definedName name="StlpecCena_s_DPH" localSheetId="7">#REF!</definedName>
    <definedName name="StlpecCena_s_DPH">#REF!</definedName>
    <definedName name="StlpecMnožstvo" localSheetId="5">#REF!</definedName>
    <definedName name="StlpecMnožstvo" localSheetId="9">#REF!</definedName>
    <definedName name="StlpecMnožstvo" localSheetId="8">#REF!</definedName>
    <definedName name="StlpecMnožstvo" localSheetId="7">#REF!</definedName>
    <definedName name="StlpecMnožstvo">#REF!</definedName>
    <definedName name="StlpecTovar" localSheetId="5">#REF!</definedName>
    <definedName name="StlpecTovar" localSheetId="9">#REF!</definedName>
    <definedName name="StlpecTovar" localSheetId="8">#REF!</definedName>
    <definedName name="StlpecTovar" localSheetId="7">#REF!</definedName>
    <definedName name="StlpecTovar">#REF!</definedName>
    <definedName name="ukazatel">#REF!</definedName>
    <definedName name="verze1">#REF!</definedName>
    <definedName name="verze1_res">[1]Out_res!$D$16</definedName>
    <definedName name="verze2">#REF!</definedName>
    <definedName name="verze2_res">[1]Out_res!$E$16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1" i="10" l="1"/>
  <c r="G16" i="10"/>
  <c r="F16" i="10" a="1"/>
  <c r="F17" i="10" s="1"/>
  <c r="C13" i="10"/>
  <c r="F13" i="10" s="1"/>
  <c r="B13" i="10"/>
  <c r="C12" i="10"/>
  <c r="F12" i="10" s="1"/>
  <c r="F11" i="10"/>
  <c r="E11" i="10"/>
  <c r="D11" i="10"/>
  <c r="C11" i="10"/>
  <c r="E10" i="10"/>
  <c r="C10" i="10"/>
  <c r="F10" i="10" s="1"/>
  <c r="I9" i="10"/>
  <c r="K6" i="10" s="1"/>
  <c r="J7" i="10"/>
  <c r="J6" i="10"/>
  <c r="F6" i="10"/>
  <c r="E6" i="10"/>
  <c r="D6" i="10"/>
  <c r="C6" i="10"/>
  <c r="K5" i="10"/>
  <c r="J5" i="10"/>
  <c r="F5" i="10"/>
  <c r="E5" i="10"/>
  <c r="D5" i="10"/>
  <c r="C5" i="10"/>
  <c r="J4" i="10"/>
  <c r="F4" i="10"/>
  <c r="E4" i="10"/>
  <c r="D4" i="10"/>
  <c r="C4" i="10"/>
  <c r="K3" i="10"/>
  <c r="F3" i="10"/>
  <c r="E3" i="10"/>
  <c r="D3" i="10"/>
  <c r="C3" i="10"/>
  <c r="N16" i="9"/>
  <c r="L16" i="9"/>
  <c r="K16" i="9"/>
  <c r="J16" i="9"/>
  <c r="M16" i="9" s="1"/>
  <c r="I16" i="9"/>
  <c r="H16" i="9"/>
  <c r="M15" i="9"/>
  <c r="K15" i="9"/>
  <c r="N15" i="9" s="1"/>
  <c r="J15" i="9"/>
  <c r="I15" i="9"/>
  <c r="L15" i="9" s="1"/>
  <c r="H15" i="9"/>
  <c r="N14" i="9"/>
  <c r="L14" i="9"/>
  <c r="K14" i="9"/>
  <c r="J14" i="9"/>
  <c r="M14" i="9" s="1"/>
  <c r="I14" i="9"/>
  <c r="H14" i="9"/>
  <c r="M13" i="9"/>
  <c r="K13" i="9"/>
  <c r="N13" i="9" s="1"/>
  <c r="J13" i="9"/>
  <c r="I13" i="9"/>
  <c r="L13" i="9" s="1"/>
  <c r="H13" i="9"/>
  <c r="N12" i="9"/>
  <c r="L12" i="9"/>
  <c r="K12" i="9"/>
  <c r="J12" i="9"/>
  <c r="M12" i="9" s="1"/>
  <c r="I12" i="9"/>
  <c r="H12" i="9"/>
  <c r="N11" i="9"/>
  <c r="M11" i="9"/>
  <c r="K11" i="9"/>
  <c r="J11" i="9"/>
  <c r="I11" i="9"/>
  <c r="L11" i="9" s="1"/>
  <c r="H11" i="9"/>
  <c r="N10" i="9"/>
  <c r="M10" i="9"/>
  <c r="L10" i="9"/>
  <c r="K10" i="9"/>
  <c r="J10" i="9"/>
  <c r="I10" i="9"/>
  <c r="H10" i="9"/>
  <c r="M9" i="9"/>
  <c r="L9" i="9"/>
  <c r="K9" i="9"/>
  <c r="N9" i="9" s="1"/>
  <c r="J9" i="9"/>
  <c r="I9" i="9"/>
  <c r="H9" i="9"/>
  <c r="N8" i="9"/>
  <c r="L8" i="9"/>
  <c r="K8" i="9"/>
  <c r="J8" i="9"/>
  <c r="M8" i="9" s="1"/>
  <c r="I8" i="9"/>
  <c r="H8" i="9"/>
  <c r="M7" i="9"/>
  <c r="K7" i="9"/>
  <c r="N7" i="9" s="1"/>
  <c r="J7" i="9"/>
  <c r="I7" i="9"/>
  <c r="L7" i="9" s="1"/>
  <c r="H7" i="9"/>
  <c r="N6" i="9"/>
  <c r="L6" i="9"/>
  <c r="K6" i="9"/>
  <c r="J6" i="9"/>
  <c r="M6" i="9" s="1"/>
  <c r="I6" i="9"/>
  <c r="H6" i="9"/>
  <c r="M5" i="9"/>
  <c r="K5" i="9"/>
  <c r="N5" i="9" s="1"/>
  <c r="J5" i="9"/>
  <c r="I5" i="9"/>
  <c r="L5" i="9" s="1"/>
  <c r="H5" i="9"/>
  <c r="N4" i="9"/>
  <c r="L4" i="9"/>
  <c r="K4" i="9"/>
  <c r="J4" i="9"/>
  <c r="M4" i="9" s="1"/>
  <c r="I4" i="9"/>
  <c r="H4" i="9"/>
  <c r="M3" i="9"/>
  <c r="K3" i="9"/>
  <c r="N3" i="9" s="1"/>
  <c r="J3" i="9"/>
  <c r="J18" i="9" s="1"/>
  <c r="I3" i="9"/>
  <c r="L3" i="9" s="1"/>
  <c r="L18" i="9" s="1"/>
  <c r="I21" i="9" s="1"/>
  <c r="H3" i="9"/>
  <c r="H18" i="9" s="1"/>
  <c r="G8" i="3"/>
  <c r="B39" i="3"/>
  <c r="N33" i="3"/>
  <c r="N32" i="3"/>
  <c r="N31" i="3"/>
  <c r="B31" i="3"/>
  <c r="N23" i="3"/>
  <c r="B23" i="3"/>
  <c r="N22" i="3"/>
  <c r="N21" i="3"/>
  <c r="N24" i="3" s="1"/>
  <c r="P15" i="3"/>
  <c r="P14" i="3"/>
  <c r="P7" i="3"/>
  <c r="P6" i="3"/>
  <c r="G5" i="3"/>
  <c r="N18" i="9" l="1"/>
  <c r="K21" i="9" s="1"/>
  <c r="M18" i="9"/>
  <c r="J21" i="9" s="1"/>
  <c r="K18" i="9"/>
  <c r="K7" i="10"/>
  <c r="D13" i="10"/>
  <c r="G17" i="10"/>
  <c r="E13" i="10"/>
  <c r="H17" i="10"/>
  <c r="K4" i="10"/>
  <c r="F18" i="10"/>
  <c r="J3" i="10"/>
  <c r="D10" i="10"/>
  <c r="D12" i="10"/>
  <c r="G18" i="10"/>
  <c r="E12" i="10"/>
  <c r="F16" i="10"/>
  <c r="B21" i="10" s="1" a="1"/>
  <c r="H18" i="10"/>
  <c r="H16" i="10"/>
  <c r="I18" i="9"/>
  <c r="N34" i="3"/>
  <c r="C21" i="10" l="1"/>
  <c r="D23" i="10"/>
  <c r="B21" i="10"/>
  <c r="C23" i="10"/>
  <c r="B23" i="10"/>
  <c r="D22" i="10"/>
  <c r="C22" i="10"/>
  <c r="B22" i="10"/>
  <c r="D21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Ivka</author>
  </authors>
  <commentList>
    <comment ref="B2" authorId="0" shapeId="0" xr:uid="{58EA0070-EA8D-475C-8ABB-AB768FE55133}">
      <text>
        <r>
          <rPr>
            <b/>
            <sz val="9"/>
            <color indexed="81"/>
            <rFont val="Tahoma"/>
            <family val="2"/>
            <charset val="238"/>
          </rPr>
          <t>Windows User:</t>
        </r>
        <r>
          <rPr>
            <sz val="9"/>
            <color indexed="81"/>
            <rFont val="Tahoma"/>
            <family val="2"/>
            <charset val="238"/>
          </rPr>
          <t xml:space="preserve">
Gool Seek
Riešiteľ</t>
        </r>
      </text>
    </comment>
    <comment ref="K2" authorId="0" shapeId="0" xr:uid="{22D31C18-1785-48E5-8BCE-DE7719DAD649}">
      <text>
        <r>
          <rPr>
            <b/>
            <sz val="9"/>
            <color indexed="81"/>
            <rFont val="Tahoma"/>
            <family val="2"/>
            <charset val="238"/>
          </rPr>
          <t>Windows User:</t>
        </r>
        <r>
          <rPr>
            <sz val="9"/>
            <color indexed="81"/>
            <rFont val="Tahoma"/>
            <family val="2"/>
            <charset val="238"/>
          </rPr>
          <t xml:space="preserve">
Gool Seek
Riešiteľ</t>
        </r>
      </text>
    </comment>
    <comment ref="O6" authorId="1" shapeId="0" xr:uid="{60539F1C-D469-456D-91F5-D1545AEAD3E2}">
      <text>
        <r>
          <rPr>
            <b/>
            <sz val="9"/>
            <color indexed="81"/>
            <rFont val="Tahoma"/>
            <family val="2"/>
            <charset val="238"/>
          </rPr>
          <t>IT Academy:</t>
        </r>
        <r>
          <rPr>
            <sz val="9"/>
            <color indexed="81"/>
            <rFont val="Tahoma"/>
            <family val="2"/>
            <charset val="238"/>
          </rPr>
          <t xml:space="preserve">
85, 86, 87 -&gt; 82</t>
        </r>
      </text>
    </comment>
    <comment ref="B12" authorId="0" shapeId="0" xr:uid="{E9C7D88C-9E85-4DEB-A556-62BBE49FDF18}">
      <text>
        <r>
          <rPr>
            <b/>
            <sz val="9"/>
            <color indexed="81"/>
            <rFont val="Tahoma"/>
            <family val="2"/>
            <charset val="238"/>
          </rPr>
          <t>Windows User:</t>
        </r>
        <r>
          <rPr>
            <sz val="9"/>
            <color indexed="81"/>
            <rFont val="Tahoma"/>
            <family val="2"/>
            <charset val="238"/>
          </rPr>
          <t xml:space="preserve">
Gool Seek
Riešiteľ</t>
        </r>
      </text>
    </comment>
    <comment ref="K17" authorId="0" shapeId="0" xr:uid="{5AAC70D7-A507-4F11-B3C8-AAA3CF8C447A}">
      <text>
        <r>
          <rPr>
            <b/>
            <sz val="9"/>
            <color indexed="81"/>
            <rFont val="Tahoma"/>
            <family val="2"/>
            <charset val="238"/>
          </rPr>
          <t>Windows User:</t>
        </r>
        <r>
          <rPr>
            <sz val="9"/>
            <color indexed="81"/>
            <rFont val="Tahoma"/>
            <family val="2"/>
            <charset val="238"/>
          </rPr>
          <t xml:space="preserve">
Gool Seek
Riešiteľ</t>
        </r>
      </text>
    </comment>
    <comment ref="B18" authorId="0" shapeId="0" xr:uid="{87AF51ED-ADF5-4C5C-AEEB-483D17652F68}">
      <text>
        <r>
          <rPr>
            <b/>
            <sz val="9"/>
            <color indexed="81"/>
            <rFont val="Tahoma"/>
            <family val="2"/>
            <charset val="238"/>
          </rPr>
          <t>Windows User:</t>
        </r>
        <r>
          <rPr>
            <sz val="9"/>
            <color indexed="81"/>
            <rFont val="Tahoma"/>
            <family val="2"/>
            <charset val="238"/>
          </rPr>
          <t xml:space="preserve">
Interest Rate</t>
        </r>
      </text>
    </comment>
    <comment ref="D18" authorId="0" shapeId="0" xr:uid="{A46EB15B-B091-4E6D-9D7F-8A9B46CB64B3}">
      <text>
        <r>
          <rPr>
            <b/>
            <sz val="9"/>
            <color indexed="81"/>
            <rFont val="Tahoma"/>
            <family val="2"/>
            <charset val="238"/>
          </rPr>
          <t>Windows User:</t>
        </r>
        <r>
          <rPr>
            <sz val="9"/>
            <color indexed="81"/>
            <rFont val="Tahoma"/>
            <family val="2"/>
            <charset val="238"/>
          </rPr>
          <t xml:space="preserve">
No. Of payments</t>
        </r>
      </text>
    </comment>
    <comment ref="F18" authorId="0" shapeId="0" xr:uid="{604F1D78-F6E2-4E8B-AFBB-CA3637A7086C}">
      <text>
        <r>
          <rPr>
            <b/>
            <sz val="9"/>
            <color indexed="81"/>
            <rFont val="Tahoma"/>
            <family val="2"/>
            <charset val="238"/>
          </rPr>
          <t>Windows User:</t>
        </r>
        <r>
          <rPr>
            <sz val="9"/>
            <color indexed="81"/>
            <rFont val="Tahoma"/>
            <family val="2"/>
            <charset val="238"/>
          </rPr>
          <t xml:space="preserve">
Loan amount</t>
        </r>
      </text>
    </comment>
    <comment ref="B26" authorId="0" shapeId="0" xr:uid="{AFE4BDF9-EDCB-446B-9A05-711E997CB214}">
      <text>
        <r>
          <rPr>
            <b/>
            <sz val="9"/>
            <color indexed="81"/>
            <rFont val="Tahoma"/>
            <family val="2"/>
            <charset val="238"/>
          </rPr>
          <t>Windows User:</t>
        </r>
        <r>
          <rPr>
            <sz val="9"/>
            <color indexed="81"/>
            <rFont val="Tahoma"/>
            <family val="2"/>
            <charset val="238"/>
          </rPr>
          <t xml:space="preserve">
Interest Rate</t>
        </r>
      </text>
    </comment>
    <comment ref="D26" authorId="0" shapeId="0" xr:uid="{ECC80A4C-1696-41D1-8E1A-CC9BD5372E7E}">
      <text>
        <r>
          <rPr>
            <b/>
            <sz val="9"/>
            <color indexed="81"/>
            <rFont val="Tahoma"/>
            <family val="2"/>
            <charset val="238"/>
          </rPr>
          <t>Windows User:</t>
        </r>
        <r>
          <rPr>
            <sz val="9"/>
            <color indexed="81"/>
            <rFont val="Tahoma"/>
            <family val="2"/>
            <charset val="238"/>
          </rPr>
          <t xml:space="preserve">
No. Of payments</t>
        </r>
      </text>
    </comment>
    <comment ref="F26" authorId="0" shapeId="0" xr:uid="{8FB64453-04FA-4DE2-98BC-E5B664058A22}">
      <text>
        <r>
          <rPr>
            <b/>
            <sz val="9"/>
            <color indexed="81"/>
            <rFont val="Tahoma"/>
            <family val="2"/>
            <charset val="238"/>
          </rPr>
          <t>Windows User:</t>
        </r>
        <r>
          <rPr>
            <sz val="9"/>
            <color indexed="81"/>
            <rFont val="Tahoma"/>
            <family val="2"/>
            <charset val="238"/>
          </rPr>
          <t xml:space="preserve">
Loan amount</t>
        </r>
      </text>
    </comment>
    <comment ref="B34" authorId="0" shapeId="0" xr:uid="{20C6F208-C46F-4B54-AED3-184F9216D021}">
      <text>
        <r>
          <rPr>
            <b/>
            <sz val="9"/>
            <color indexed="81"/>
            <rFont val="Tahoma"/>
            <family val="2"/>
            <charset val="238"/>
          </rPr>
          <t>Windows User:</t>
        </r>
        <r>
          <rPr>
            <sz val="9"/>
            <color indexed="81"/>
            <rFont val="Tahoma"/>
            <family val="2"/>
            <charset val="238"/>
          </rPr>
          <t xml:space="preserve">
Interest Rate</t>
        </r>
      </text>
    </comment>
    <comment ref="D34" authorId="0" shapeId="0" xr:uid="{4415AFB0-EB58-4FA7-8346-DEB9B60BB134}">
      <text>
        <r>
          <rPr>
            <b/>
            <sz val="9"/>
            <color indexed="81"/>
            <rFont val="Tahoma"/>
            <family val="2"/>
            <charset val="238"/>
          </rPr>
          <t>Windows User:</t>
        </r>
        <r>
          <rPr>
            <sz val="9"/>
            <color indexed="81"/>
            <rFont val="Tahoma"/>
            <family val="2"/>
            <charset val="238"/>
          </rPr>
          <t xml:space="preserve">
No. Of payments</t>
        </r>
      </text>
    </comment>
    <comment ref="F34" authorId="0" shapeId="0" xr:uid="{900433B5-77EE-4052-A289-565B16AED110}">
      <text>
        <r>
          <rPr>
            <b/>
            <sz val="9"/>
            <color indexed="81"/>
            <rFont val="Tahoma"/>
            <family val="2"/>
            <charset val="238"/>
          </rPr>
          <t>Windows User:</t>
        </r>
        <r>
          <rPr>
            <sz val="9"/>
            <color indexed="81"/>
            <rFont val="Tahoma"/>
            <family val="2"/>
            <charset val="238"/>
          </rPr>
          <t xml:space="preserve">
Loan amount</t>
        </r>
      </text>
    </comment>
  </commentList>
</comments>
</file>

<file path=xl/sharedStrings.xml><?xml version="1.0" encoding="utf-8"?>
<sst xmlns="http://schemas.openxmlformats.org/spreadsheetml/2006/main" count="687" uniqueCount="239">
  <si>
    <t>Karta Domov -&gt; Úpravy (Ctrl + E)</t>
  </si>
  <si>
    <t>Celé meno</t>
  </si>
  <si>
    <t>Krstné meno</t>
  </si>
  <si>
    <t>Priezvisko</t>
  </si>
  <si>
    <t>Email</t>
  </si>
  <si>
    <t>Správny tvar</t>
  </si>
  <si>
    <t>Iniciály</t>
  </si>
  <si>
    <t>Gary Miller</t>
  </si>
  <si>
    <t>gary miller</t>
  </si>
  <si>
    <t>James Willard</t>
  </si>
  <si>
    <t>James willard</t>
  </si>
  <si>
    <t>Richard Elliot</t>
  </si>
  <si>
    <t>Richard elliot</t>
  </si>
  <si>
    <t>Robert Spear</t>
  </si>
  <si>
    <t>Roger Mun</t>
  </si>
  <si>
    <t>Paul Garza</t>
  </si>
  <si>
    <t>paul Garza</t>
  </si>
  <si>
    <t>Robert Marquez</t>
  </si>
  <si>
    <t>Robert marquez</t>
  </si>
  <si>
    <t>Natalie Porter</t>
  </si>
  <si>
    <t>natalie porter</t>
  </si>
  <si>
    <t>Kim West</t>
  </si>
  <si>
    <t>Kim west</t>
  </si>
  <si>
    <t>Kim Sophie West</t>
  </si>
  <si>
    <t>Produkt</t>
  </si>
  <si>
    <t>Woman / Man</t>
  </si>
  <si>
    <t>Dátum</t>
  </si>
  <si>
    <t>Rok</t>
  </si>
  <si>
    <t>Gary</t>
  </si>
  <si>
    <t>Šangala</t>
  </si>
  <si>
    <t>Watch-W</t>
  </si>
  <si>
    <t>James</t>
  </si>
  <si>
    <t>Scarf-M</t>
  </si>
  <si>
    <t>Richard</t>
  </si>
  <si>
    <t>Shirt-M</t>
  </si>
  <si>
    <t>Robert</t>
  </si>
  <si>
    <t>Roger</t>
  </si>
  <si>
    <t>Scarf-W</t>
  </si>
  <si>
    <t>Paul</t>
  </si>
  <si>
    <t>Watch-M</t>
  </si>
  <si>
    <t>Natalie</t>
  </si>
  <si>
    <t>Shirt-W</t>
  </si>
  <si>
    <t>Kim</t>
  </si>
  <si>
    <t>Pravé tlačidlo myši -&gt; Rýchla analýza (Ctrl + Q)</t>
  </si>
  <si>
    <t>W</t>
  </si>
  <si>
    <t>X</t>
  </si>
  <si>
    <t>Y</t>
  </si>
  <si>
    <t>Z</t>
  </si>
  <si>
    <t>A</t>
  </si>
  <si>
    <t>B</t>
  </si>
  <si>
    <t>C</t>
  </si>
  <si>
    <t>D</t>
  </si>
  <si>
    <t>E</t>
  </si>
  <si>
    <t>F</t>
  </si>
  <si>
    <t>Hľadanie riešenia Príklad 1</t>
  </si>
  <si>
    <t>1. Vzorec (=B5*E5)</t>
  </si>
  <si>
    <t>Hľadanie riešenia Príklad 3</t>
  </si>
  <si>
    <t>1. Vzorec (=AVERAGE(M6:O6))</t>
  </si>
  <si>
    <t>2. Karta údaje:</t>
  </si>
  <si>
    <t>Analýza hypotéz</t>
  </si>
  <si>
    <t>=</t>
  </si>
  <si>
    <t>Hľadanie riešenia</t>
  </si>
  <si>
    <t>Meno</t>
  </si>
  <si>
    <t>Matematika</t>
  </si>
  <si>
    <t>Angličtina</t>
  </si>
  <si>
    <t>Informatika</t>
  </si>
  <si>
    <t>Priemer</t>
  </si>
  <si>
    <t>3. Nastavenie riešenia:</t>
  </si>
  <si>
    <t>Adam</t>
  </si>
  <si>
    <t>Nastaviť bunku: na bunku kde je 0</t>
  </si>
  <si>
    <t>Milan</t>
  </si>
  <si>
    <t>Mocný</t>
  </si>
  <si>
    <t>Nastaviť bunku: na bunku kde je priemer</t>
  </si>
  <si>
    <t>Cieľová hodnota: 87</t>
  </si>
  <si>
    <t>Cieľová hodnota: 82</t>
  </si>
  <si>
    <t>Menená bunka: prázdna bunka</t>
  </si>
  <si>
    <t>Menená bunka: prázdna bunka informatika</t>
  </si>
  <si>
    <t>Hľadanie riešenia Príklad 2</t>
  </si>
  <si>
    <t>PMT</t>
  </si>
  <si>
    <t>Hľadanie riešenia Príklad 4</t>
  </si>
  <si>
    <t>Urok</t>
  </si>
  <si>
    <t>Počet platieb</t>
  </si>
  <si>
    <t>Výška úveru</t>
  </si>
  <si>
    <t>Množstvo</t>
  </si>
  <si>
    <t>Cena</t>
  </si>
  <si>
    <t>Celkovo</t>
  </si>
  <si>
    <t>Notebook MSI</t>
  </si>
  <si>
    <t>Výsledok</t>
  </si>
  <si>
    <t>Myška A4</t>
  </si>
  <si>
    <t>Tlačiareň HP</t>
  </si>
  <si>
    <t>i: úrok</t>
  </si>
  <si>
    <t>n: celkový počet periód</t>
  </si>
  <si>
    <t>1. Vzorec (=PMT(B19;D19;F19))</t>
  </si>
  <si>
    <t>&lt;-- 13000</t>
  </si>
  <si>
    <t>Môžeme si dovoliť 3 tlačiarne?</t>
  </si>
  <si>
    <t>Nastaviť bunku: na bunku kde je výsledok</t>
  </si>
  <si>
    <t>Cieľová hodnota: -4444</t>
  </si>
  <si>
    <t>Menená bunka: počet platieb</t>
  </si>
  <si>
    <t>Titul</t>
  </si>
  <si>
    <t>Autor</t>
  </si>
  <si>
    <t>ISBN</t>
  </si>
  <si>
    <t>Rok vydania</t>
  </si>
  <si>
    <t>Počet výtlačkov</t>
  </si>
  <si>
    <t>Nákupná cena</t>
  </si>
  <si>
    <t>Náklady</t>
  </si>
  <si>
    <t>Predajná cena 1</t>
  </si>
  <si>
    <t>Predajná cena 2</t>
  </si>
  <si>
    <t>Predajná cena 3</t>
  </si>
  <si>
    <t>Zisk 1</t>
  </si>
  <si>
    <t>Zisk 2</t>
  </si>
  <si>
    <t>Zisk 3</t>
  </si>
  <si>
    <t>Mexico</t>
  </si>
  <si>
    <t>Onstott, Jane</t>
  </si>
  <si>
    <t>978-80-251-1944-0</t>
  </si>
  <si>
    <t>Myanma (Barma)</t>
  </si>
  <si>
    <t>Reid, Robert</t>
  </si>
  <si>
    <t>80-7352-463-5</t>
  </si>
  <si>
    <t>Andy</t>
  </si>
  <si>
    <t>Rohrbach, Carmen</t>
  </si>
  <si>
    <t>978-80-249-1026-0</t>
  </si>
  <si>
    <t>Berlín</t>
  </si>
  <si>
    <t>Schulte-Peevers, Andrea</t>
  </si>
  <si>
    <t>80-7237-627-6</t>
  </si>
  <si>
    <t>Lanzarote</t>
  </si>
  <si>
    <t>Schulze, Dieter</t>
  </si>
  <si>
    <t>80-7236-227-5</t>
  </si>
  <si>
    <t>Barcelona</t>
  </si>
  <si>
    <t>Simonis, Damien</t>
  </si>
  <si>
    <t>978-80-251-1462-9</t>
  </si>
  <si>
    <t>Benátky</t>
  </si>
  <si>
    <t>978-80-7352-680-1</t>
  </si>
  <si>
    <t>Mallorca</t>
  </si>
  <si>
    <t>978-80-7352-947-5</t>
  </si>
  <si>
    <t>Jižní Indie</t>
  </si>
  <si>
    <t>Singh, Sarina</t>
  </si>
  <si>
    <t>978-80-7352-799-0</t>
  </si>
  <si>
    <t>Severní Indie</t>
  </si>
  <si>
    <t>978-80-7352-798-3</t>
  </si>
  <si>
    <t>Vietnam</t>
  </si>
  <si>
    <t>Sullivan, James</t>
  </si>
  <si>
    <t>978-80-251-2193-1</t>
  </si>
  <si>
    <t>Nový Zéland</t>
  </si>
  <si>
    <t>Turner, Peter</t>
  </si>
  <si>
    <t>978-80-251-2264-8</t>
  </si>
  <si>
    <t>Svět kolem nás</t>
  </si>
  <si>
    <t>Wallechinsky, David</t>
  </si>
  <si>
    <t>978-80-7359-195-3</t>
  </si>
  <si>
    <t>Indické Himaláje</t>
  </si>
  <si>
    <t>Weare, Garry</t>
  </si>
  <si>
    <t>0-86442-093-5</t>
  </si>
  <si>
    <t>Celkom</t>
  </si>
  <si>
    <t>marža:</t>
  </si>
  <si>
    <t>zisk:</t>
  </si>
  <si>
    <t>Základné funkcie</t>
  </si>
  <si>
    <t>x</t>
  </si>
  <si>
    <t>Abs</t>
  </si>
  <si>
    <t>Celá čásť</t>
  </si>
  <si>
    <t>Zaokrúhlené číslo</t>
  </si>
  <si>
    <t>Nepárne čísla</t>
  </si>
  <si>
    <t>Kvety</t>
  </si>
  <si>
    <t>Predané</t>
  </si>
  <si>
    <t>Percent z celkovo [Chybne]</t>
  </si>
  <si>
    <t xml:space="preserve">Percent z celkovo </t>
  </si>
  <si>
    <t>Ruže</t>
  </si>
  <si>
    <t>Ľalie</t>
  </si>
  <si>
    <t>Sedmokrásky</t>
  </si>
  <si>
    <t>Fialky</t>
  </si>
  <si>
    <t>Slnečnica</t>
  </si>
  <si>
    <t>Geometrické funkcie</t>
  </si>
  <si>
    <t>Stupně</t>
  </si>
  <si>
    <t>Radiány</t>
  </si>
  <si>
    <t>SIN</t>
  </si>
  <si>
    <t>COS</t>
  </si>
  <si>
    <t>ARCTG</t>
  </si>
  <si>
    <t>Matica</t>
  </si>
  <si>
    <t>Inverzná matica</t>
  </si>
  <si>
    <t>Násobenie matíc</t>
  </si>
  <si>
    <t>Determinant A:</t>
  </si>
  <si>
    <t>Edice</t>
  </si>
  <si>
    <t>Nakupní cena</t>
  </si>
  <si>
    <t>Thajsko</t>
  </si>
  <si>
    <t>Merian live!</t>
  </si>
  <si>
    <t>Budée, Gisela</t>
  </si>
  <si>
    <t>80-7236-209-7</t>
  </si>
  <si>
    <t>Azurové pobřeží</t>
  </si>
  <si>
    <t>Campbell, Verity</t>
  </si>
  <si>
    <t>80-7236-273-9</t>
  </si>
  <si>
    <t>Srí Lanka</t>
  </si>
  <si>
    <t>Lonely Planet</t>
  </si>
  <si>
    <t>Davenport, Fionn</t>
  </si>
  <si>
    <t>80-7237-495-8</t>
  </si>
  <si>
    <t>Irsko II</t>
  </si>
  <si>
    <t>Devine, Bob</t>
  </si>
  <si>
    <t>978-80-256-0542-4</t>
  </si>
  <si>
    <t>Aljaška</t>
  </si>
  <si>
    <t>Velký průvodce National Geographic</t>
  </si>
  <si>
    <t>Engelhardt, Marc</t>
  </si>
  <si>
    <t>978-80-251-1903-7</t>
  </si>
  <si>
    <t>Keňa; Zanzibar; Tanzanie</t>
  </si>
  <si>
    <t>Franc, Aristid</t>
  </si>
  <si>
    <t>978-80-7236-733-7</t>
  </si>
  <si>
    <t>Kréta</t>
  </si>
  <si>
    <t>Gawin, Izabella</t>
  </si>
  <si>
    <t>978-80-251-3302-6</t>
  </si>
  <si>
    <t>Bulharsko: černomořské pobřeží</t>
  </si>
  <si>
    <t>Greenfield, Beth</t>
  </si>
  <si>
    <t>80-7236-474-X</t>
  </si>
  <si>
    <t>New York</t>
  </si>
  <si>
    <t>Gründel, Eva</t>
  </si>
  <si>
    <t>80-7237-794-9</t>
  </si>
  <si>
    <t>Apulie a Gargano</t>
  </si>
  <si>
    <t>Haas, Robert B.</t>
  </si>
  <si>
    <t>80-7236-222-4</t>
  </si>
  <si>
    <t>Afrika</t>
  </si>
  <si>
    <t>National Geographic</t>
  </si>
  <si>
    <t>80-7026-260-5</t>
  </si>
  <si>
    <t>Latinská Amerika</t>
  </si>
  <si>
    <t>Ham, Anthony</t>
  </si>
  <si>
    <t>80-7026-268-0</t>
  </si>
  <si>
    <t>Norsko</t>
  </si>
  <si>
    <t>Hole, Abigail</t>
  </si>
  <si>
    <t>80-7352-351-5</t>
  </si>
  <si>
    <t>Řím</t>
  </si>
  <si>
    <t>Humphreys, Andrew</t>
  </si>
  <si>
    <t>978-80-7352-511-8</t>
  </si>
  <si>
    <t>Egypt</t>
  </si>
  <si>
    <t>Jacquet, Luc</t>
  </si>
  <si>
    <t>80-251-0728-0</t>
  </si>
  <si>
    <t>Putování tučňáků</t>
  </si>
  <si>
    <t>King, John</t>
  </si>
  <si>
    <t>80-7026-264-8</t>
  </si>
  <si>
    <t>Praha</t>
  </si>
  <si>
    <t>Lonely Planet Publications</t>
  </si>
  <si>
    <t>Kreutzkamp, Dieter</t>
  </si>
  <si>
    <t>1-86450-208-8</t>
  </si>
  <si>
    <t>Kanada</t>
  </si>
  <si>
    <t>Kolem světa</t>
  </si>
  <si>
    <t>Lehmann, Ingeborg</t>
  </si>
  <si>
    <t>978-80-249-0906-6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</si>
</sst>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164" formatCode="_-* #,##0.00_-;\-* #,##0.00_-;_-* &quot;-&quot;??_-;_-@_-"/>
    <numFmt numFmtId="165" formatCode="_-* #,##0\ [$€-41B]_-;\-* #,##0\ [$€-41B]_-;_-* &quot;-&quot;??\ [$€-41B]_-;_-@_-"/>
  </numFmts>
  <fonts count="24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b/>
      <sz val="12"/>
      <name val="Arial CE"/>
      <family val="2"/>
      <charset val="238"/>
    </font>
    <font>
      <b/>
      <sz val="12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b/>
      <sz val="14"/>
      <color theme="0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12"/>
      <color rgb="FFFFFF00"/>
      <name val="Calibri"/>
      <family val="2"/>
      <charset val="238"/>
      <scheme val="minor"/>
    </font>
    <font>
      <b/>
      <sz val="9"/>
      <color indexed="81"/>
      <name val="Tahoma"/>
      <family val="2"/>
      <charset val="238"/>
    </font>
    <font>
      <sz val="9"/>
      <color indexed="81"/>
      <name val="Tahoma"/>
      <family val="2"/>
      <charset val="238"/>
    </font>
    <font>
      <b/>
      <sz val="14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b/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b/>
      <sz val="11"/>
      <color rgb="FF9C6500"/>
      <name val="Calibri"/>
      <family val="2"/>
      <charset val="238"/>
      <scheme val="minor"/>
    </font>
    <font>
      <b/>
      <sz val="11"/>
      <color rgb="FF006100"/>
      <name val="Calibri"/>
      <family val="2"/>
      <charset val="238"/>
      <scheme val="minor"/>
    </font>
    <font>
      <sz val="11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 tint="0.59996337778862885"/>
        <bgColor indexed="64"/>
      </patternFill>
    </fill>
  </fills>
  <borders count="40">
    <border>
      <left/>
      <right/>
      <top/>
      <bottom/>
      <diagonal/>
    </border>
    <border>
      <left style="medium">
        <color theme="7"/>
      </left>
      <right/>
      <top style="medium">
        <color theme="7"/>
      </top>
      <bottom style="medium">
        <color theme="7"/>
      </bottom>
      <diagonal/>
    </border>
    <border>
      <left/>
      <right/>
      <top style="medium">
        <color theme="7"/>
      </top>
      <bottom style="medium">
        <color theme="7"/>
      </bottom>
      <diagonal/>
    </border>
    <border>
      <left/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/>
      <top/>
      <bottom style="medium">
        <color rgb="FF2981B9"/>
      </bottom>
      <diagonal/>
    </border>
    <border>
      <left/>
      <right/>
      <top/>
      <bottom style="medium">
        <color rgb="FF9DA85E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4" applyNumberFormat="0" applyFill="0" applyAlignment="0" applyProtection="0"/>
    <xf numFmtId="0" fontId="7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15" borderId="0" applyNumberFormat="0" applyBorder="0" applyAlignment="0" applyProtection="0"/>
    <xf numFmtId="0" fontId="18" fillId="16" borderId="0" applyNumberFormat="0" applyBorder="0" applyAlignment="0" applyProtection="0"/>
    <xf numFmtId="0" fontId="20" fillId="17" borderId="0" applyNumberFormat="0" applyBorder="0" applyAlignment="0" applyProtection="0"/>
  </cellStyleXfs>
  <cellXfs count="134">
    <xf numFmtId="0" fontId="0" fillId="0" borderId="0" xfId="0"/>
    <xf numFmtId="0" fontId="3" fillId="0" borderId="0" xfId="0" applyFont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>
      <alignment horizontal="center"/>
    </xf>
    <xf numFmtId="0" fontId="3" fillId="4" borderId="0" xfId="0" applyFont="1" applyFill="1"/>
    <xf numFmtId="0" fontId="6" fillId="5" borderId="0" xfId="0" applyFont="1" applyFill="1" applyAlignment="1">
      <alignment horizontal="center"/>
    </xf>
    <xf numFmtId="0" fontId="3" fillId="5" borderId="0" xfId="0" applyFont="1" applyFill="1"/>
    <xf numFmtId="0" fontId="6" fillId="6" borderId="0" xfId="0" applyFont="1" applyFill="1" applyAlignment="1">
      <alignment horizontal="center"/>
    </xf>
    <xf numFmtId="0" fontId="3" fillId="6" borderId="0" xfId="0" applyFont="1" applyFill="1"/>
    <xf numFmtId="0" fontId="6" fillId="7" borderId="0" xfId="0" applyFont="1" applyFill="1" applyAlignment="1">
      <alignment horizontal="center"/>
    </xf>
    <xf numFmtId="0" fontId="3" fillId="7" borderId="0" xfId="0" applyFont="1" applyFill="1"/>
    <xf numFmtId="0" fontId="6" fillId="8" borderId="0" xfId="0" applyFont="1" applyFill="1" applyAlignment="1">
      <alignment horizontal="center"/>
    </xf>
    <xf numFmtId="0" fontId="3" fillId="8" borderId="0" xfId="0" applyFont="1" applyFill="1"/>
    <xf numFmtId="0" fontId="6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indent="2"/>
    </xf>
    <xf numFmtId="0" fontId="6" fillId="0" borderId="12" xfId="0" applyFont="1" applyBorder="1"/>
    <xf numFmtId="0" fontId="6" fillId="0" borderId="13" xfId="0" applyFont="1" applyBorder="1"/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/>
    <xf numFmtId="0" fontId="6" fillId="0" borderId="15" xfId="0" applyFont="1" applyBorder="1"/>
    <xf numFmtId="0" fontId="3" fillId="0" borderId="16" xfId="0" applyFont="1" applyBorder="1"/>
    <xf numFmtId="0" fontId="3" fillId="0" borderId="0" xfId="0" applyFont="1" applyAlignment="1">
      <alignment horizontal="center"/>
    </xf>
    <xf numFmtId="0" fontId="3" fillId="10" borderId="17" xfId="0" applyFont="1" applyFill="1" applyBorder="1" applyAlignment="1">
      <alignment horizontal="center"/>
    </xf>
    <xf numFmtId="1" fontId="3" fillId="0" borderId="18" xfId="0" applyNumberFormat="1" applyFont="1" applyBorder="1" applyAlignment="1">
      <alignment horizontal="center"/>
    </xf>
    <xf numFmtId="0" fontId="3" fillId="0" borderId="9" xfId="0" applyFont="1" applyBorder="1"/>
    <xf numFmtId="0" fontId="3" fillId="0" borderId="10" xfId="0" applyFont="1" applyBorder="1"/>
    <xf numFmtId="0" fontId="3" fillId="0" borderId="10" xfId="0" applyFont="1" applyBorder="1" applyAlignment="1">
      <alignment horizontal="center"/>
    </xf>
    <xf numFmtId="0" fontId="3" fillId="10" borderId="19" xfId="0" applyFont="1" applyFill="1" applyBorder="1" applyAlignment="1">
      <alignment horizontal="center"/>
    </xf>
    <xf numFmtId="1" fontId="3" fillId="0" borderId="11" xfId="0" applyNumberFormat="1" applyFont="1" applyBorder="1" applyAlignment="1">
      <alignment horizontal="center"/>
    </xf>
    <xf numFmtId="0" fontId="6" fillId="0" borderId="12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10" fillId="12" borderId="0" xfId="0" applyFont="1" applyFill="1" applyAlignment="1">
      <alignment horizontal="center"/>
    </xf>
    <xf numFmtId="164" fontId="12" fillId="14" borderId="0" xfId="1" applyFont="1" applyFill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" fillId="0" borderId="14" xfId="0" applyFont="1" applyBorder="1"/>
    <xf numFmtId="0" fontId="6" fillId="0" borderId="21" xfId="3" applyFont="1" applyBorder="1"/>
    <xf numFmtId="0" fontId="6" fillId="0" borderId="22" xfId="4" applyFont="1" applyBorder="1"/>
    <xf numFmtId="0" fontId="6" fillId="0" borderId="23" xfId="4" applyFont="1" applyBorder="1"/>
    <xf numFmtId="0" fontId="3" fillId="0" borderId="24" xfId="0" applyFont="1" applyBorder="1"/>
    <xf numFmtId="0" fontId="3" fillId="0" borderId="25" xfId="0" applyFont="1" applyBorder="1"/>
    <xf numFmtId="0" fontId="3" fillId="0" borderId="26" xfId="0" applyFont="1" applyBorder="1"/>
    <xf numFmtId="0" fontId="3" fillId="0" borderId="27" xfId="0" applyFont="1" applyBorder="1"/>
    <xf numFmtId="0" fontId="3" fillId="0" borderId="28" xfId="0" applyFont="1" applyBorder="1"/>
    <xf numFmtId="0" fontId="6" fillId="0" borderId="21" xfId="4" applyFont="1" applyBorder="1"/>
    <xf numFmtId="0" fontId="6" fillId="0" borderId="23" xfId="3" applyFont="1" applyBorder="1"/>
    <xf numFmtId="14" fontId="3" fillId="0" borderId="24" xfId="0" applyNumberFormat="1" applyFont="1" applyBorder="1"/>
    <xf numFmtId="14" fontId="3" fillId="0" borderId="26" xfId="0" applyNumberFormat="1" applyFont="1" applyBorder="1"/>
    <xf numFmtId="0" fontId="16" fillId="0" borderId="25" xfId="5" applyBorder="1"/>
    <xf numFmtId="0" fontId="16" fillId="0" borderId="28" xfId="5" applyBorder="1"/>
    <xf numFmtId="0" fontId="15" fillId="18" borderId="29" xfId="0" applyFont="1" applyFill="1" applyBorder="1" applyAlignment="1">
      <alignment horizontal="center" vertical="center"/>
    </xf>
    <xf numFmtId="0" fontId="15" fillId="18" borderId="30" xfId="0" applyFont="1" applyFill="1" applyBorder="1" applyAlignment="1">
      <alignment horizontal="center" vertical="center"/>
    </xf>
    <xf numFmtId="0" fontId="15" fillId="18" borderId="29" xfId="0" applyFont="1" applyFill="1" applyBorder="1" applyAlignment="1">
      <alignment horizontal="center" vertical="center" wrapText="1"/>
    </xf>
    <xf numFmtId="0" fontId="15" fillId="18" borderId="31" xfId="0" applyFont="1" applyFill="1" applyBorder="1" applyAlignment="1">
      <alignment horizontal="center" vertical="center"/>
    </xf>
    <xf numFmtId="0" fontId="0" fillId="0" borderId="32" xfId="0" applyBorder="1"/>
    <xf numFmtId="0" fontId="0" fillId="0" borderId="19" xfId="0" applyBorder="1"/>
    <xf numFmtId="0" fontId="0" fillId="0" borderId="14" xfId="0" applyBorder="1"/>
    <xf numFmtId="0" fontId="0" fillId="0" borderId="3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15" fillId="0" borderId="0" xfId="0" applyFont="1" applyAlignment="1">
      <alignment horizontal="center" vertical="center"/>
    </xf>
    <xf numFmtId="0" fontId="2" fillId="0" borderId="0" xfId="0" applyFont="1"/>
    <xf numFmtId="0" fontId="0" fillId="0" borderId="34" xfId="0" applyBorder="1"/>
    <xf numFmtId="10" fontId="19" fillId="0" borderId="35" xfId="7" applyNumberFormat="1" applyFont="1" applyFill="1" applyBorder="1"/>
    <xf numFmtId="10" fontId="21" fillId="0" borderId="35" xfId="8" applyNumberFormat="1" applyFont="1" applyFill="1" applyBorder="1"/>
    <xf numFmtId="10" fontId="22" fillId="0" borderId="36" xfId="6" applyNumberFormat="1" applyFont="1" applyFill="1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2" fillId="18" borderId="14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0" xfId="0" applyBorder="1"/>
    <xf numFmtId="0" fontId="0" fillId="0" borderId="8" xfId="0" applyBorder="1"/>
    <xf numFmtId="0" fontId="0" fillId="0" borderId="17" xfId="0" applyBorder="1"/>
    <xf numFmtId="0" fontId="23" fillId="0" borderId="17" xfId="0" applyFont="1" applyBorder="1"/>
    <xf numFmtId="0" fontId="0" fillId="0" borderId="18" xfId="0" applyBorder="1"/>
    <xf numFmtId="0" fontId="0" fillId="0" borderId="19" xfId="0" applyBorder="1" applyAlignment="1">
      <alignment horizontal="left"/>
    </xf>
    <xf numFmtId="0" fontId="0" fillId="0" borderId="19" xfId="0" applyBorder="1" applyAlignment="1">
      <alignment horizontal="right"/>
    </xf>
    <xf numFmtId="0" fontId="0" fillId="0" borderId="19" xfId="0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left"/>
    </xf>
    <xf numFmtId="0" fontId="15" fillId="0" borderId="0" xfId="0" applyFont="1" applyAlignment="1">
      <alignment horizontal="center"/>
    </xf>
    <xf numFmtId="0" fontId="6" fillId="13" borderId="12" xfId="0" applyFont="1" applyFill="1" applyBorder="1" applyAlignment="1">
      <alignment horizontal="center" vertical="center"/>
    </xf>
    <xf numFmtId="0" fontId="2" fillId="13" borderId="13" xfId="0" applyFont="1" applyFill="1" applyBorder="1" applyAlignment="1">
      <alignment horizontal="center" vertical="center"/>
    </xf>
    <xf numFmtId="0" fontId="2" fillId="13" borderId="15" xfId="0" applyFont="1" applyFill="1" applyBorder="1" applyAlignment="1">
      <alignment horizontal="center" vertical="center"/>
    </xf>
    <xf numFmtId="8" fontId="11" fillId="13" borderId="6" xfId="0" applyNumberFormat="1" applyFont="1" applyFill="1" applyBorder="1" applyAlignment="1">
      <alignment horizontal="center" vertical="center"/>
    </xf>
    <xf numFmtId="8" fontId="11" fillId="13" borderId="7" xfId="0" applyNumberFormat="1" applyFont="1" applyFill="1" applyBorder="1" applyAlignment="1">
      <alignment horizontal="center" vertical="center"/>
    </xf>
    <xf numFmtId="8" fontId="11" fillId="13" borderId="8" xfId="0" applyNumberFormat="1" applyFont="1" applyFill="1" applyBorder="1" applyAlignment="1">
      <alignment horizontal="center" vertical="center"/>
    </xf>
    <xf numFmtId="8" fontId="11" fillId="13" borderId="9" xfId="0" applyNumberFormat="1" applyFont="1" applyFill="1" applyBorder="1" applyAlignment="1">
      <alignment horizontal="center" vertical="center"/>
    </xf>
    <xf numFmtId="8" fontId="11" fillId="13" borderId="10" xfId="0" applyNumberFormat="1" applyFont="1" applyFill="1" applyBorder="1" applyAlignment="1">
      <alignment horizontal="center" vertical="center"/>
    </xf>
    <xf numFmtId="8" fontId="11" fillId="13" borderId="11" xfId="0" applyNumberFormat="1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/>
    </xf>
    <xf numFmtId="0" fontId="2" fillId="9" borderId="13" xfId="0" applyFont="1" applyFill="1" applyBorder="1" applyAlignment="1">
      <alignment horizontal="center" vertical="center"/>
    </xf>
    <xf numFmtId="0" fontId="2" fillId="9" borderId="15" xfId="0" applyFont="1" applyFill="1" applyBorder="1" applyAlignment="1">
      <alignment horizontal="center" vertical="center"/>
    </xf>
    <xf numFmtId="0" fontId="6" fillId="9" borderId="13" xfId="0" applyFont="1" applyFill="1" applyBorder="1" applyAlignment="1">
      <alignment horizontal="center" vertical="center"/>
    </xf>
    <xf numFmtId="9" fontId="8" fillId="9" borderId="16" xfId="2" applyFont="1" applyFill="1" applyBorder="1" applyAlignment="1">
      <alignment horizontal="center" vertical="center"/>
    </xf>
    <xf numFmtId="9" fontId="8" fillId="9" borderId="0" xfId="2" applyFont="1" applyFill="1" applyBorder="1" applyAlignment="1">
      <alignment horizontal="center" vertical="center"/>
    </xf>
    <xf numFmtId="9" fontId="8" fillId="9" borderId="9" xfId="2" applyFont="1" applyFill="1" applyBorder="1" applyAlignment="1">
      <alignment horizontal="center" vertical="center"/>
    </xf>
    <xf numFmtId="9" fontId="8" fillId="9" borderId="10" xfId="2" applyFont="1" applyFill="1" applyBorder="1" applyAlignment="1">
      <alignment horizontal="center" vertical="center"/>
    </xf>
    <xf numFmtId="0" fontId="8" fillId="9" borderId="16" xfId="0" applyFont="1" applyFill="1" applyBorder="1" applyAlignment="1">
      <alignment horizontal="center" vertical="center"/>
    </xf>
    <xf numFmtId="0" fontId="8" fillId="9" borderId="18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9" borderId="11" xfId="0" applyFont="1" applyFill="1" applyBorder="1" applyAlignment="1">
      <alignment horizontal="center" vertical="center"/>
    </xf>
    <xf numFmtId="165" fontId="8" fillId="9" borderId="0" xfId="0" applyNumberFormat="1" applyFont="1" applyFill="1" applyAlignment="1">
      <alignment horizontal="center" vertical="center"/>
    </xf>
    <xf numFmtId="165" fontId="8" fillId="9" borderId="18" xfId="0" applyNumberFormat="1" applyFont="1" applyFill="1" applyBorder="1" applyAlignment="1">
      <alignment horizontal="center" vertical="center"/>
    </xf>
    <xf numFmtId="165" fontId="8" fillId="9" borderId="10" xfId="0" applyNumberFormat="1" applyFont="1" applyFill="1" applyBorder="1" applyAlignment="1">
      <alignment horizontal="center" vertical="center"/>
    </xf>
    <xf numFmtId="165" fontId="8" fillId="9" borderId="11" xfId="0" applyNumberFormat="1" applyFont="1" applyFill="1" applyBorder="1" applyAlignment="1">
      <alignment horizontal="center" vertical="center"/>
    </xf>
    <xf numFmtId="0" fontId="9" fillId="11" borderId="20" xfId="0" applyFont="1" applyFill="1" applyBorder="1" applyAlignment="1">
      <alignment horizontal="center" vertical="center"/>
    </xf>
    <xf numFmtId="0" fontId="9" fillId="11" borderId="19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 wrapText="1"/>
    </xf>
    <xf numFmtId="0" fontId="8" fillId="5" borderId="7" xfId="0" applyFont="1" applyFill="1" applyBorder="1" applyAlignment="1">
      <alignment horizontal="center" vertical="center" wrapText="1"/>
    </xf>
    <xf numFmtId="0" fontId="8" fillId="5" borderId="8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8" fillId="5" borderId="10" xfId="0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0" fontId="8" fillId="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8" fillId="9" borderId="0" xfId="0" applyNumberFormat="1" applyFont="1" applyFill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1" fontId="9" fillId="10" borderId="0" xfId="0" applyNumberFormat="1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15" fillId="0" borderId="0" xfId="0" applyFont="1" applyAlignment="1">
      <alignment horizontal="right"/>
    </xf>
    <xf numFmtId="0" fontId="15" fillId="0" borderId="18" xfId="0" applyFont="1" applyBorder="1" applyAlignment="1">
      <alignment horizontal="right"/>
    </xf>
    <xf numFmtId="0" fontId="15" fillId="0" borderId="10" xfId="0" applyFont="1" applyBorder="1" applyAlignment="1">
      <alignment horizontal="center" vertical="center"/>
    </xf>
  </cellXfs>
  <cellStyles count="9">
    <cellStyle name="Čiarka" xfId="1" builtinId="3"/>
    <cellStyle name="Dobrá" xfId="6" builtinId="26"/>
    <cellStyle name="Heading 1 2" xfId="3" xr:uid="{4C49DCB5-3DA6-4B90-932F-36265ECA3096}"/>
    <cellStyle name="Heading 2 2" xfId="4" xr:uid="{35FFC081-1086-4D78-8CB8-16B47603D858}"/>
    <cellStyle name="Hypertextové prepojenie" xfId="5" builtinId="8"/>
    <cellStyle name="Neutrálna 2" xfId="8" xr:uid="{1F657E0A-6223-43C4-B757-02B971027177}"/>
    <cellStyle name="Normálna" xfId="0" builtinId="0"/>
    <cellStyle name="Percentá" xfId="2" builtinId="5"/>
    <cellStyle name="Zlá" xfId="7" builtinId="2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960119</xdr:colOff>
      <xdr:row>0</xdr:row>
      <xdr:rowOff>171450</xdr:rowOff>
    </xdr:from>
    <xdr:ext cx="7147561" cy="600074"/>
    <xdr:sp macro="" textlink="">
      <xdr:nvSpPr>
        <xdr:cNvPr id="2" name="Obdĺžnik 1">
          <a:extLst>
            <a:ext uri="{FF2B5EF4-FFF2-40B4-BE49-F238E27FC236}">
              <a16:creationId xmlns:a16="http://schemas.microsoft.com/office/drawing/2014/main" id="{7B6167EA-1E99-4CD0-8999-20202D1E3ABA}"/>
            </a:ext>
          </a:extLst>
        </xdr:cNvPr>
        <xdr:cNvSpPr/>
      </xdr:nvSpPr>
      <xdr:spPr>
        <a:xfrm>
          <a:off x="960119" y="171450"/>
          <a:ext cx="7147561" cy="600074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l"/>
          <a:r>
            <a:rPr lang="en-US" sz="60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Dynamické Dopĺňanie</a:t>
          </a:r>
          <a:endParaRPr lang="sk-SK" sz="60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chemeClr val="accent6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601980</xdr:colOff>
      <xdr:row>0</xdr:row>
      <xdr:rowOff>209550</xdr:rowOff>
    </xdr:from>
    <xdr:ext cx="8656319" cy="600074"/>
    <xdr:sp macro="" textlink="">
      <xdr:nvSpPr>
        <xdr:cNvPr id="2" name="Obdĺžnik 1">
          <a:extLst>
            <a:ext uri="{FF2B5EF4-FFF2-40B4-BE49-F238E27FC236}">
              <a16:creationId xmlns:a16="http://schemas.microsoft.com/office/drawing/2014/main" id="{35FD9A58-9FFD-4D72-9016-89DC2D0E8BB6}"/>
            </a:ext>
          </a:extLst>
        </xdr:cNvPr>
        <xdr:cNvSpPr/>
      </xdr:nvSpPr>
      <xdr:spPr>
        <a:xfrm>
          <a:off x="601980" y="209550"/>
          <a:ext cx="8656319" cy="600074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l"/>
          <a:r>
            <a:rPr lang="en-US" sz="60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Rýchla Analýza</a:t>
          </a:r>
          <a:endParaRPr lang="sk-SK" sz="60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chemeClr val="accent6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600075</xdr:colOff>
      <xdr:row>18</xdr:row>
      <xdr:rowOff>85726</xdr:rowOff>
    </xdr:from>
    <xdr:ext cx="2076450" cy="12824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BlokTextu 1">
              <a:extLst>
                <a:ext uri="{FF2B5EF4-FFF2-40B4-BE49-F238E27FC236}">
                  <a16:creationId xmlns:a16="http://schemas.microsoft.com/office/drawing/2014/main" id="{F79B7115-4AEB-489D-BD40-FF5B33DE2E5C}"/>
                </a:ext>
              </a:extLst>
            </xdr:cNvPr>
            <xdr:cNvSpPr txBox="1"/>
          </xdr:nvSpPr>
          <xdr:spPr>
            <a:xfrm>
              <a:off x="3518535" y="3598546"/>
              <a:ext cx="2076450" cy="12824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sk-SK" sz="18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sk-SK" sz="1800" b="0" i="1">
                            <a:latin typeface="Cambria Math"/>
                          </a:rPr>
                          <m:t>𝑆</m:t>
                        </m:r>
                        <m:r>
                          <a:rPr lang="sk-SK" sz="1800" b="0" i="1">
                            <a:latin typeface="Cambria Math"/>
                          </a:rPr>
                          <m:t>úč</m:t>
                        </m:r>
                        <m:r>
                          <a:rPr lang="sk-SK" sz="1800" b="0" i="1">
                            <a:latin typeface="Cambria Math"/>
                          </a:rPr>
                          <m:t>𝑎𝑠𝑛</m:t>
                        </m:r>
                        <m:r>
                          <a:rPr lang="sk-SK" sz="1800" b="0" i="1">
                            <a:latin typeface="Cambria Math"/>
                          </a:rPr>
                          <m:t>á </m:t>
                        </m:r>
                        <m:r>
                          <a:rPr lang="sk-SK" sz="1800" b="0" i="1">
                            <a:latin typeface="Cambria Math"/>
                          </a:rPr>
                          <m:t>h𝑜𝑑𝑛𝑜𝑡𝑎</m:t>
                        </m:r>
                      </m:num>
                      <m:den>
                        <m:d>
                          <m:dPr>
                            <m:begChr m:val="["/>
                            <m:endChr m:val="]"/>
                            <m:ctrlPr>
                              <a:rPr lang="sk-SK" sz="18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sk-SK" sz="180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d>
                                  <m:dPr>
                                    <m:ctrlPr>
                                      <a:rPr lang="sk-SK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sk-SK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1−</m:t>
                                    </m:r>
                                    <m:d>
                                      <m:dPr>
                                        <m:ctrlPr>
                                          <a:rPr lang="sk-SK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f>
                                          <m:fPr>
                                            <m:ctrlPr>
                                              <a:rPr lang="sk-SK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fPr>
                                          <m:num>
                                            <m:r>
                                              <a:rPr lang="sk-SK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/>
                                                <a:ea typeface="+mn-ea"/>
                                                <a:cs typeface="+mn-cs"/>
                                              </a:rPr>
                                              <m:t>1</m:t>
                                            </m:r>
                                          </m:num>
                                          <m:den>
                                            <m:sSup>
                                              <m:sSupPr>
                                                <m:ctrlPr>
                                                  <a:rPr lang="sk-SK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</m:ctrlPr>
                                              </m:sSupPr>
                                              <m:e>
                                                <m:d>
                                                  <m:dPr>
                                                    <m:ctrlPr>
                                                      <a:rPr lang="sk-SK" sz="1800" b="0" i="1">
                                                        <a:solidFill>
                                                          <a:schemeClr val="tx1"/>
                                                        </a:solidFill>
                                                        <a:effectLst/>
                                                        <a:latin typeface="Cambria Math" panose="02040503050406030204" pitchFamily="18" charset="0"/>
                                                        <a:ea typeface="+mn-ea"/>
                                                        <a:cs typeface="+mn-cs"/>
                                                      </a:rPr>
                                                    </m:ctrlPr>
                                                  </m:dPr>
                                                  <m:e>
                                                    <m:r>
                                                      <a:rPr lang="sk-SK" sz="1800" b="0" i="1">
                                                        <a:solidFill>
                                                          <a:schemeClr val="tx1"/>
                                                        </a:solidFill>
                                                        <a:effectLst/>
                                                        <a:latin typeface="Cambria Math"/>
                                                        <a:ea typeface="+mn-ea"/>
                                                        <a:cs typeface="+mn-cs"/>
                                                      </a:rPr>
                                                      <m:t>1+</m:t>
                                                    </m:r>
                                                    <m:r>
                                                      <a:rPr lang="sk-SK" sz="1800" b="0" i="1">
                                                        <a:solidFill>
                                                          <a:schemeClr val="tx1"/>
                                                        </a:solidFill>
                                                        <a:effectLst/>
                                                        <a:latin typeface="Cambria Math"/>
                                                        <a:ea typeface="+mn-ea"/>
                                                        <a:cs typeface="+mn-cs"/>
                                                      </a:rPr>
                                                      <m:t>𝑖</m:t>
                                                    </m:r>
                                                  </m:e>
                                                </m:d>
                                              </m:e>
                                              <m:sup>
                                                <m:r>
                                                  <a:rPr lang="sk-SK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/>
                                                    <a:ea typeface="+mn-ea"/>
                                                    <a:cs typeface="+mn-cs"/>
                                                  </a:rPr>
                                                  <m:t>𝑛</m:t>
                                                </m:r>
                                              </m:sup>
                                            </m:sSup>
                                          </m:den>
                                        </m:f>
                                      </m:e>
                                    </m:d>
                                  </m:e>
                                </m:d>
                                <m:r>
                                  <a:rPr lang="sk-SK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a:rPr lang="sk-SK" sz="1800" b="0" i="1">
                                    <a:latin typeface="Cambria Math"/>
                                  </a:rPr>
                                  <m:t>𝑖</m:t>
                                </m:r>
                              </m:den>
                            </m:f>
                          </m:e>
                        </m:d>
                      </m:den>
                    </m:f>
                  </m:oMath>
                </m:oMathPara>
              </a14:m>
              <a:endParaRPr lang="sk-SK" sz="1800"/>
            </a:p>
          </xdr:txBody>
        </xdr:sp>
      </mc:Choice>
      <mc:Fallback xmlns="">
        <xdr:sp macro="" textlink="">
          <xdr:nvSpPr>
            <xdr:cNvPr id="2" name="BlokTextu 1">
              <a:extLst>
                <a:ext uri="{FF2B5EF4-FFF2-40B4-BE49-F238E27FC236}">
                  <a16:creationId xmlns:a16="http://schemas.microsoft.com/office/drawing/2014/main" id="{F79B7115-4AEB-489D-BD40-FF5B33DE2E5C}"/>
                </a:ext>
              </a:extLst>
            </xdr:cNvPr>
            <xdr:cNvSpPr txBox="1"/>
          </xdr:nvSpPr>
          <xdr:spPr>
            <a:xfrm>
              <a:off x="3518535" y="3598546"/>
              <a:ext cx="2076450" cy="12824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sk-SK" sz="1800" i="0">
                  <a:latin typeface="Cambria Math" panose="02040503050406030204" pitchFamily="18" charset="0"/>
                </a:rPr>
                <a:t>(</a:t>
              </a:r>
              <a:r>
                <a:rPr lang="sk-SK" sz="1800" b="0" i="0">
                  <a:latin typeface="Cambria Math"/>
                </a:rPr>
                <a:t>𝑆úč𝑎𝑠𝑛á ℎ𝑜𝑑𝑛𝑜𝑡𝑎</a:t>
              </a:r>
              <a:r>
                <a:rPr lang="sk-SK" sz="1800" b="0" i="0">
                  <a:latin typeface="Cambria Math" panose="02040503050406030204" pitchFamily="18" charset="0"/>
                </a:rPr>
                <a:t>)/[(</a:t>
              </a:r>
              <a:r>
                <a:rPr lang="sk-SK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sk-SK" sz="18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1−</a:t>
              </a:r>
              <a:r>
                <a:rPr lang="sk-SK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sk-SK" sz="18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1</a:t>
              </a:r>
              <a:r>
                <a:rPr lang="sk-SK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sk-SK" sz="18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1+𝑖</a:t>
              </a:r>
              <a:r>
                <a:rPr lang="sk-SK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)^</a:t>
              </a:r>
              <a:r>
                <a:rPr lang="sk-SK" sz="18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𝑛</a:t>
              </a:r>
              <a:r>
                <a:rPr lang="sk-SK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))</a:t>
              </a:r>
              <a:r>
                <a:rPr lang="sk-SK" sz="18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 </a:t>
              </a:r>
              <a:r>
                <a:rPr lang="sk-SK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sk-SK" sz="1800" b="0" i="0">
                  <a:latin typeface="Cambria Math"/>
                </a:rPr>
                <a:t>𝑖</a:t>
              </a:r>
              <a:r>
                <a:rPr lang="sk-SK" sz="1800" b="0" i="0">
                  <a:latin typeface="Cambria Math" panose="02040503050406030204" pitchFamily="18" charset="0"/>
                </a:rPr>
                <a:t>] </a:t>
              </a:r>
              <a:endParaRPr lang="sk-SK" sz="1800"/>
            </a:p>
          </xdr:txBody>
        </xdr:sp>
      </mc:Fallback>
    </mc:AlternateContent>
    <xdr:clientData/>
  </xdr:oneCellAnchor>
  <xdr:twoCellAnchor>
    <xdr:from>
      <xdr:col>12</xdr:col>
      <xdr:colOff>581023</xdr:colOff>
      <xdr:row>7</xdr:row>
      <xdr:rowOff>161925</xdr:rowOff>
    </xdr:from>
    <xdr:to>
      <xdr:col>13</xdr:col>
      <xdr:colOff>219253</xdr:colOff>
      <xdr:row>11</xdr:row>
      <xdr:rowOff>36488</xdr:rowOff>
    </xdr:to>
    <xdr:sp macro="" textlink="">
      <xdr:nvSpPr>
        <xdr:cNvPr id="3" name="Šípka doprava 2">
          <a:extLst>
            <a:ext uri="{FF2B5EF4-FFF2-40B4-BE49-F238E27FC236}">
              <a16:creationId xmlns:a16="http://schemas.microsoft.com/office/drawing/2014/main" id="{0F48312D-502B-4E8E-8027-54CE2D43C66A}"/>
            </a:ext>
          </a:extLst>
        </xdr:cNvPr>
        <xdr:cNvSpPr/>
      </xdr:nvSpPr>
      <xdr:spPr>
        <a:xfrm rot="5400000">
          <a:off x="8749606" y="1609782"/>
          <a:ext cx="651803" cy="484050"/>
        </a:xfrm>
        <a:prstGeom prst="rightArrow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k-SK" sz="1100"/>
        </a:p>
      </xdr:txBody>
    </xdr:sp>
    <xdr:clientData/>
  </xdr:twoCellAnchor>
  <xdr:twoCellAnchor>
    <xdr:from>
      <xdr:col>12</xdr:col>
      <xdr:colOff>586740</xdr:colOff>
      <xdr:row>24</xdr:row>
      <xdr:rowOff>129541</xdr:rowOff>
    </xdr:from>
    <xdr:to>
      <xdr:col>13</xdr:col>
      <xdr:colOff>224970</xdr:colOff>
      <xdr:row>27</xdr:row>
      <xdr:rowOff>156504</xdr:rowOff>
    </xdr:to>
    <xdr:sp macro="" textlink="">
      <xdr:nvSpPr>
        <xdr:cNvPr id="4" name="Šípka doprava 2">
          <a:extLst>
            <a:ext uri="{FF2B5EF4-FFF2-40B4-BE49-F238E27FC236}">
              <a16:creationId xmlns:a16="http://schemas.microsoft.com/office/drawing/2014/main" id="{083AEF03-788E-41C1-B74A-ADEE7663A9F4}"/>
            </a:ext>
          </a:extLst>
        </xdr:cNvPr>
        <xdr:cNvSpPr/>
      </xdr:nvSpPr>
      <xdr:spPr>
        <a:xfrm rot="5400000">
          <a:off x="8770563" y="4930198"/>
          <a:ext cx="621323" cy="484050"/>
        </a:xfrm>
        <a:prstGeom prst="rightArrow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k-SK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kyDrive\!!!%20Kurzy\2.%20Kancel&#225;rske%20Bal&#237;ky\Microsoft%20Excel%20VBA%20I,%20II\4_EIS_vyuk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5a0d4d1b27afcb5a/!%20Kurzy/02.%20Kancel&#225;rske%20Bal&#237;ky/Microsoft%20Excel/Reiter%20-%20Excel%20III%20-%20MO-201%20-%20Bez%20Rie&#353;eni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T%20Academy/SkyDrive/!!!%20Kurzy%20Materi&#225;ly/Microsoft%20Excel%20I,%20II,%20III/Excel%203/02%20-%20Funkcie%20III%20-%20Looku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ers\IT%20Academy\SkyDrive\!!!%20Kurzy%20Materi&#225;ly\Microsoft%20Excel%20I,%20II,%20III\Excel%203\02%20-%20Funkcie%20III%20-%20Looku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stup"/>
      <sheetName val="DS.in"/>
      <sheetName val="X1"/>
      <sheetName val="X2"/>
      <sheetName val="X3"/>
      <sheetName val="X4"/>
      <sheetName val="DWDS"/>
      <sheetName val="Src"/>
      <sheetName val="Out"/>
      <sheetName val="Src_res"/>
      <sheetName val="Out_res"/>
      <sheetName val="Out.pol"/>
      <sheetName val="Menu_res"/>
      <sheetName val="Ctrl"/>
      <sheetName val="Csl"/>
      <sheetName val="rozpad"/>
      <sheetName val="Sche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Q1" t="str">
            <v>klic</v>
          </cell>
          <cell r="R1">
            <v>1</v>
          </cell>
          <cell r="S1">
            <v>2</v>
          </cell>
          <cell r="T1">
            <v>3</v>
          </cell>
          <cell r="U1">
            <v>4</v>
          </cell>
          <cell r="V1">
            <v>5</v>
          </cell>
          <cell r="W1">
            <v>6</v>
          </cell>
          <cell r="X1">
            <v>7</v>
          </cell>
          <cell r="Y1">
            <v>8</v>
          </cell>
          <cell r="Z1">
            <v>9</v>
          </cell>
          <cell r="AA1">
            <v>10</v>
          </cell>
          <cell r="AB1">
            <v>11</v>
          </cell>
          <cell r="AC1">
            <v>12</v>
          </cell>
          <cell r="AE1" t="str">
            <v>klic</v>
          </cell>
          <cell r="AF1">
            <v>1</v>
          </cell>
          <cell r="AG1">
            <v>2</v>
          </cell>
          <cell r="AH1">
            <v>3</v>
          </cell>
          <cell r="AI1">
            <v>4</v>
          </cell>
          <cell r="AJ1">
            <v>5</v>
          </cell>
          <cell r="AK1">
            <v>6</v>
          </cell>
          <cell r="AL1">
            <v>7</v>
          </cell>
          <cell r="AM1">
            <v>8</v>
          </cell>
          <cell r="AN1">
            <v>9</v>
          </cell>
          <cell r="AO1">
            <v>10</v>
          </cell>
          <cell r="AP1">
            <v>11</v>
          </cell>
          <cell r="AQ1">
            <v>12</v>
          </cell>
        </row>
        <row r="2">
          <cell r="Q2" t="str">
            <v>2007S01_T_11</v>
          </cell>
          <cell r="R2">
            <v>38312</v>
          </cell>
          <cell r="S2">
            <v>41386</v>
          </cell>
          <cell r="T2">
            <v>40487</v>
          </cell>
          <cell r="U2">
            <v>43102</v>
          </cell>
          <cell r="V2">
            <v>41408</v>
          </cell>
          <cell r="W2">
            <v>40936</v>
          </cell>
          <cell r="X2">
            <v>41044</v>
          </cell>
          <cell r="Y2">
            <v>41900</v>
          </cell>
          <cell r="Z2">
            <v>41143</v>
          </cell>
          <cell r="AA2">
            <v>41579</v>
          </cell>
          <cell r="AB2">
            <v>41548</v>
          </cell>
          <cell r="AC2">
            <v>40087</v>
          </cell>
          <cell r="AE2" t="str">
            <v>2007S01_T_11</v>
          </cell>
          <cell r="AF2">
            <v>38312</v>
          </cell>
          <cell r="AG2">
            <v>79698</v>
          </cell>
          <cell r="AH2">
            <v>120185</v>
          </cell>
          <cell r="AI2">
            <v>163287</v>
          </cell>
          <cell r="AJ2">
            <v>204695</v>
          </cell>
          <cell r="AK2">
            <v>245631</v>
          </cell>
          <cell r="AL2">
            <v>286675</v>
          </cell>
          <cell r="AM2">
            <v>328575</v>
          </cell>
          <cell r="AN2">
            <v>369718</v>
          </cell>
          <cell r="AO2">
            <v>411297</v>
          </cell>
          <cell r="AP2">
            <v>452845</v>
          </cell>
          <cell r="AQ2">
            <v>492932</v>
          </cell>
        </row>
        <row r="3">
          <cell r="Q3" t="str">
            <v>2007S01_T_12</v>
          </cell>
          <cell r="R3">
            <v>29883</v>
          </cell>
          <cell r="S3">
            <v>32282</v>
          </cell>
          <cell r="T3">
            <v>31578</v>
          </cell>
          <cell r="U3">
            <v>33617</v>
          </cell>
          <cell r="V3">
            <v>32299</v>
          </cell>
          <cell r="W3">
            <v>31930</v>
          </cell>
          <cell r="X3">
            <v>32013</v>
          </cell>
          <cell r="Y3">
            <v>32681</v>
          </cell>
          <cell r="Z3">
            <v>32093</v>
          </cell>
          <cell r="AA3">
            <v>32433</v>
          </cell>
          <cell r="AB3">
            <v>32408</v>
          </cell>
          <cell r="AC3">
            <v>31267</v>
          </cell>
          <cell r="AE3" t="str">
            <v>2007S01_T_12</v>
          </cell>
          <cell r="AF3">
            <v>29883</v>
          </cell>
          <cell r="AG3">
            <v>62165</v>
          </cell>
          <cell r="AH3">
            <v>93743</v>
          </cell>
          <cell r="AI3">
            <v>127360</v>
          </cell>
          <cell r="AJ3">
            <v>159659</v>
          </cell>
          <cell r="AK3">
            <v>191589</v>
          </cell>
          <cell r="AL3">
            <v>223602</v>
          </cell>
          <cell r="AM3">
            <v>256283</v>
          </cell>
          <cell r="AN3">
            <v>288376</v>
          </cell>
          <cell r="AO3">
            <v>320809</v>
          </cell>
          <cell r="AP3">
            <v>353217</v>
          </cell>
          <cell r="AQ3">
            <v>384484</v>
          </cell>
        </row>
        <row r="4">
          <cell r="Q4" t="str">
            <v>2007S01_T_13</v>
          </cell>
          <cell r="R4">
            <v>14345</v>
          </cell>
          <cell r="S4">
            <v>15494</v>
          </cell>
          <cell r="T4">
            <v>15158</v>
          </cell>
          <cell r="U4">
            <v>16136</v>
          </cell>
          <cell r="V4">
            <v>15503</v>
          </cell>
          <cell r="W4">
            <v>15327</v>
          </cell>
          <cell r="X4">
            <v>15366</v>
          </cell>
          <cell r="Y4">
            <v>15688</v>
          </cell>
          <cell r="Z4">
            <v>15404</v>
          </cell>
          <cell r="AA4">
            <v>15567</v>
          </cell>
          <cell r="AB4">
            <v>15557</v>
          </cell>
          <cell r="AC4">
            <v>15008</v>
          </cell>
          <cell r="AE4" t="str">
            <v>2007S01_T_13</v>
          </cell>
          <cell r="AF4">
            <v>14345</v>
          </cell>
          <cell r="AG4">
            <v>29839</v>
          </cell>
          <cell r="AH4">
            <v>44997</v>
          </cell>
          <cell r="AI4">
            <v>61133</v>
          </cell>
          <cell r="AJ4">
            <v>76636</v>
          </cell>
          <cell r="AK4">
            <v>91963</v>
          </cell>
          <cell r="AL4">
            <v>107329</v>
          </cell>
          <cell r="AM4">
            <v>123017</v>
          </cell>
          <cell r="AN4">
            <v>138421</v>
          </cell>
          <cell r="AO4">
            <v>153988</v>
          </cell>
          <cell r="AP4">
            <v>169545</v>
          </cell>
          <cell r="AQ4">
            <v>184553</v>
          </cell>
        </row>
        <row r="5">
          <cell r="Q5" t="str">
            <v>2008V01_T_11</v>
          </cell>
          <cell r="R5">
            <v>55167</v>
          </cell>
          <cell r="S5">
            <v>59587</v>
          </cell>
          <cell r="T5">
            <v>58297</v>
          </cell>
          <cell r="U5">
            <v>62062</v>
          </cell>
          <cell r="V5">
            <v>59625</v>
          </cell>
          <cell r="W5">
            <v>58947</v>
          </cell>
          <cell r="X5">
            <v>58282</v>
          </cell>
          <cell r="Y5">
            <v>59499</v>
          </cell>
          <cell r="Z5">
            <v>58424</v>
          </cell>
          <cell r="AA5">
            <v>59043</v>
          </cell>
          <cell r="AB5">
            <v>59000</v>
          </cell>
          <cell r="AC5">
            <v>56921</v>
          </cell>
          <cell r="AE5" t="str">
            <v>2008V01_T_11</v>
          </cell>
          <cell r="AF5">
            <v>55167</v>
          </cell>
          <cell r="AG5">
            <v>114754</v>
          </cell>
          <cell r="AH5">
            <v>173051</v>
          </cell>
          <cell r="AI5">
            <v>235113</v>
          </cell>
          <cell r="AJ5">
            <v>294738</v>
          </cell>
          <cell r="AK5">
            <v>353685</v>
          </cell>
          <cell r="AL5">
            <v>411967</v>
          </cell>
          <cell r="AM5">
            <v>471466</v>
          </cell>
          <cell r="AN5">
            <v>529890</v>
          </cell>
          <cell r="AO5">
            <v>588933</v>
          </cell>
          <cell r="AP5">
            <v>647933</v>
          </cell>
          <cell r="AQ5">
            <v>704854</v>
          </cell>
        </row>
        <row r="6">
          <cell r="Q6" t="str">
            <v>2008V01_T_12</v>
          </cell>
          <cell r="R6">
            <v>43032</v>
          </cell>
          <cell r="S6">
            <v>46482</v>
          </cell>
          <cell r="T6">
            <v>45470</v>
          </cell>
          <cell r="U6">
            <v>48408</v>
          </cell>
          <cell r="V6">
            <v>46505</v>
          </cell>
          <cell r="W6">
            <v>45978</v>
          </cell>
          <cell r="X6">
            <v>45461</v>
          </cell>
          <cell r="Y6">
            <v>46408</v>
          </cell>
          <cell r="Z6">
            <v>45571</v>
          </cell>
          <cell r="AA6">
            <v>46054</v>
          </cell>
          <cell r="AB6">
            <v>46020</v>
          </cell>
          <cell r="AC6">
            <v>44399</v>
          </cell>
          <cell r="AE6" t="str">
            <v>2008V01_T_12</v>
          </cell>
          <cell r="AF6">
            <v>43032</v>
          </cell>
          <cell r="AG6">
            <v>89514</v>
          </cell>
          <cell r="AH6">
            <v>134984</v>
          </cell>
          <cell r="AI6">
            <v>183392</v>
          </cell>
          <cell r="AJ6">
            <v>229897</v>
          </cell>
          <cell r="AK6">
            <v>275875</v>
          </cell>
          <cell r="AL6">
            <v>321336</v>
          </cell>
          <cell r="AM6">
            <v>367744</v>
          </cell>
          <cell r="AN6">
            <v>413315</v>
          </cell>
          <cell r="AO6">
            <v>459369</v>
          </cell>
          <cell r="AP6">
            <v>505389</v>
          </cell>
          <cell r="AQ6">
            <v>549788</v>
          </cell>
        </row>
        <row r="7">
          <cell r="Q7" t="str">
            <v>2008V01_T_13</v>
          </cell>
          <cell r="R7">
            <v>20654</v>
          </cell>
          <cell r="S7">
            <v>22311</v>
          </cell>
          <cell r="T7">
            <v>21829</v>
          </cell>
          <cell r="U7">
            <v>23235</v>
          </cell>
          <cell r="V7">
            <v>22325</v>
          </cell>
          <cell r="W7">
            <v>22070</v>
          </cell>
          <cell r="X7">
            <v>21821</v>
          </cell>
          <cell r="Y7">
            <v>22275</v>
          </cell>
          <cell r="Z7">
            <v>21875</v>
          </cell>
          <cell r="AA7">
            <v>22107</v>
          </cell>
          <cell r="AB7">
            <v>22088</v>
          </cell>
          <cell r="AC7">
            <v>21312</v>
          </cell>
          <cell r="AE7" t="str">
            <v>2008V01_T_13</v>
          </cell>
          <cell r="AF7">
            <v>20654</v>
          </cell>
          <cell r="AG7">
            <v>42965</v>
          </cell>
          <cell r="AH7">
            <v>64794</v>
          </cell>
          <cell r="AI7">
            <v>88029</v>
          </cell>
          <cell r="AJ7">
            <v>110354</v>
          </cell>
          <cell r="AK7">
            <v>132424</v>
          </cell>
          <cell r="AL7">
            <v>154245</v>
          </cell>
          <cell r="AM7">
            <v>176520</v>
          </cell>
          <cell r="AN7">
            <v>198395</v>
          </cell>
          <cell r="AO7">
            <v>220502</v>
          </cell>
          <cell r="AP7">
            <v>242590</v>
          </cell>
          <cell r="AQ7">
            <v>263902</v>
          </cell>
        </row>
        <row r="8">
          <cell r="Q8" t="str">
            <v>2007S01_Q_11</v>
          </cell>
          <cell r="R8">
            <v>1519</v>
          </cell>
          <cell r="S8">
            <v>1692</v>
          </cell>
          <cell r="T8">
            <v>1665</v>
          </cell>
          <cell r="U8">
            <v>1794</v>
          </cell>
          <cell r="V8">
            <v>1698</v>
          </cell>
          <cell r="W8">
            <v>1650</v>
          </cell>
          <cell r="X8">
            <v>1652</v>
          </cell>
          <cell r="Y8">
            <v>1698</v>
          </cell>
          <cell r="Z8">
            <v>1665</v>
          </cell>
          <cell r="AA8">
            <v>1703</v>
          </cell>
          <cell r="AB8">
            <v>1716</v>
          </cell>
          <cell r="AC8">
            <v>1620</v>
          </cell>
          <cell r="AE8" t="str">
            <v>2007S01_Q_11</v>
          </cell>
          <cell r="AF8">
            <v>1519</v>
          </cell>
          <cell r="AG8">
            <v>3211</v>
          </cell>
          <cell r="AH8">
            <v>4876</v>
          </cell>
          <cell r="AI8">
            <v>6670</v>
          </cell>
          <cell r="AJ8">
            <v>8368</v>
          </cell>
          <cell r="AK8">
            <v>10018</v>
          </cell>
          <cell r="AL8">
            <v>11670</v>
          </cell>
          <cell r="AM8">
            <v>13368</v>
          </cell>
          <cell r="AN8">
            <v>15033</v>
          </cell>
          <cell r="AO8">
            <v>16736</v>
          </cell>
          <cell r="AP8">
            <v>18452</v>
          </cell>
          <cell r="AQ8">
            <v>20072</v>
          </cell>
        </row>
        <row r="9">
          <cell r="Q9" t="str">
            <v>2007S01_Q_12</v>
          </cell>
          <cell r="R9">
            <v>1185</v>
          </cell>
          <cell r="S9">
            <v>1318</v>
          </cell>
          <cell r="T9">
            <v>1298</v>
          </cell>
          <cell r="U9">
            <v>1401</v>
          </cell>
          <cell r="V9">
            <v>1323</v>
          </cell>
          <cell r="W9">
            <v>1288</v>
          </cell>
          <cell r="X9">
            <v>1287</v>
          </cell>
          <cell r="Y9">
            <v>1325</v>
          </cell>
          <cell r="Z9">
            <v>1297</v>
          </cell>
          <cell r="AA9">
            <v>1328</v>
          </cell>
          <cell r="AB9">
            <v>1339</v>
          </cell>
          <cell r="AC9">
            <v>1262</v>
          </cell>
          <cell r="AE9" t="str">
            <v>2007S01_Q_12</v>
          </cell>
          <cell r="AF9">
            <v>1185</v>
          </cell>
          <cell r="AG9">
            <v>2503</v>
          </cell>
          <cell r="AH9">
            <v>3801</v>
          </cell>
          <cell r="AI9">
            <v>5202</v>
          </cell>
          <cell r="AJ9">
            <v>6525</v>
          </cell>
          <cell r="AK9">
            <v>7813</v>
          </cell>
          <cell r="AL9">
            <v>9100</v>
          </cell>
          <cell r="AM9">
            <v>10425</v>
          </cell>
          <cell r="AN9">
            <v>11722</v>
          </cell>
          <cell r="AO9">
            <v>13050</v>
          </cell>
          <cell r="AP9">
            <v>14389</v>
          </cell>
          <cell r="AQ9">
            <v>15651</v>
          </cell>
        </row>
        <row r="10">
          <cell r="Q10" t="str">
            <v>2007S01_Q_13</v>
          </cell>
          <cell r="R10">
            <v>567</v>
          </cell>
          <cell r="S10">
            <v>634</v>
          </cell>
          <cell r="T10">
            <v>624</v>
          </cell>
          <cell r="U10">
            <v>672</v>
          </cell>
          <cell r="V10">
            <v>635</v>
          </cell>
          <cell r="W10">
            <v>618</v>
          </cell>
          <cell r="X10">
            <v>621</v>
          </cell>
          <cell r="Y10">
            <v>637</v>
          </cell>
          <cell r="Z10">
            <v>623</v>
          </cell>
          <cell r="AA10">
            <v>637</v>
          </cell>
          <cell r="AB10">
            <v>644</v>
          </cell>
          <cell r="AC10">
            <v>608</v>
          </cell>
          <cell r="AE10" t="str">
            <v>2007S01_Q_13</v>
          </cell>
          <cell r="AF10">
            <v>567</v>
          </cell>
          <cell r="AG10">
            <v>1201</v>
          </cell>
          <cell r="AH10">
            <v>1825</v>
          </cell>
          <cell r="AI10">
            <v>2497</v>
          </cell>
          <cell r="AJ10">
            <v>3132</v>
          </cell>
          <cell r="AK10">
            <v>3750</v>
          </cell>
          <cell r="AL10">
            <v>4371</v>
          </cell>
          <cell r="AM10">
            <v>5008</v>
          </cell>
          <cell r="AN10">
            <v>5631</v>
          </cell>
          <cell r="AO10">
            <v>6268</v>
          </cell>
          <cell r="AP10">
            <v>6912</v>
          </cell>
          <cell r="AQ10">
            <v>7520</v>
          </cell>
        </row>
        <row r="11">
          <cell r="Q11" t="str">
            <v>2008V01_Q_11</v>
          </cell>
          <cell r="R11">
            <v>2189</v>
          </cell>
          <cell r="S11">
            <v>2437</v>
          </cell>
          <cell r="T11">
            <v>2400</v>
          </cell>
          <cell r="U11">
            <v>2586</v>
          </cell>
          <cell r="V11">
            <v>2445</v>
          </cell>
          <cell r="W11">
            <v>2376</v>
          </cell>
          <cell r="X11">
            <v>2349</v>
          </cell>
          <cell r="Y11">
            <v>2413</v>
          </cell>
          <cell r="Z11">
            <v>2363</v>
          </cell>
          <cell r="AA11">
            <v>2418</v>
          </cell>
          <cell r="AB11">
            <v>2438</v>
          </cell>
          <cell r="AC11">
            <v>2302</v>
          </cell>
          <cell r="AE11" t="str">
            <v>2008V01_Q_11</v>
          </cell>
          <cell r="AF11">
            <v>2189</v>
          </cell>
          <cell r="AG11">
            <v>4626</v>
          </cell>
          <cell r="AH11">
            <v>7026</v>
          </cell>
          <cell r="AI11">
            <v>9612</v>
          </cell>
          <cell r="AJ11">
            <v>12057</v>
          </cell>
          <cell r="AK11">
            <v>14433</v>
          </cell>
          <cell r="AL11">
            <v>16782</v>
          </cell>
          <cell r="AM11">
            <v>19195</v>
          </cell>
          <cell r="AN11">
            <v>21558</v>
          </cell>
          <cell r="AO11">
            <v>23976</v>
          </cell>
          <cell r="AP11">
            <v>26414</v>
          </cell>
          <cell r="AQ11">
            <v>28716</v>
          </cell>
        </row>
        <row r="12">
          <cell r="Q12" t="str">
            <v>2008V01_Q_12</v>
          </cell>
          <cell r="R12">
            <v>1705</v>
          </cell>
          <cell r="S12">
            <v>1898</v>
          </cell>
          <cell r="T12">
            <v>1870</v>
          </cell>
          <cell r="U12">
            <v>2017</v>
          </cell>
          <cell r="V12">
            <v>1907</v>
          </cell>
          <cell r="W12">
            <v>1856</v>
          </cell>
          <cell r="X12">
            <v>1829</v>
          </cell>
          <cell r="Y12">
            <v>1883</v>
          </cell>
          <cell r="Z12">
            <v>1842</v>
          </cell>
          <cell r="AA12">
            <v>1887</v>
          </cell>
          <cell r="AB12">
            <v>1901</v>
          </cell>
          <cell r="AC12">
            <v>1795</v>
          </cell>
          <cell r="AE12" t="str">
            <v>2008V01_Q_12</v>
          </cell>
          <cell r="AF12">
            <v>1705</v>
          </cell>
          <cell r="AG12">
            <v>3603</v>
          </cell>
          <cell r="AH12">
            <v>5473</v>
          </cell>
          <cell r="AI12">
            <v>7490</v>
          </cell>
          <cell r="AJ12">
            <v>9397</v>
          </cell>
          <cell r="AK12">
            <v>11253</v>
          </cell>
          <cell r="AL12">
            <v>13082</v>
          </cell>
          <cell r="AM12">
            <v>14965</v>
          </cell>
          <cell r="AN12">
            <v>16807</v>
          </cell>
          <cell r="AO12">
            <v>18694</v>
          </cell>
          <cell r="AP12">
            <v>20595</v>
          </cell>
          <cell r="AQ12">
            <v>22390</v>
          </cell>
        </row>
        <row r="13">
          <cell r="Q13" t="str">
            <v>2008V01_Q_13</v>
          </cell>
          <cell r="R13">
            <v>820</v>
          </cell>
          <cell r="S13">
            <v>910</v>
          </cell>
          <cell r="T13">
            <v>898</v>
          </cell>
          <cell r="U13">
            <v>967</v>
          </cell>
          <cell r="V13">
            <v>915</v>
          </cell>
          <cell r="W13">
            <v>891</v>
          </cell>
          <cell r="X13">
            <v>878</v>
          </cell>
          <cell r="Y13">
            <v>903</v>
          </cell>
          <cell r="Z13">
            <v>885</v>
          </cell>
          <cell r="AA13">
            <v>906</v>
          </cell>
          <cell r="AB13">
            <v>913</v>
          </cell>
          <cell r="AC13">
            <v>862</v>
          </cell>
          <cell r="AE13" t="str">
            <v>2008V01_Q_13</v>
          </cell>
          <cell r="AF13">
            <v>820</v>
          </cell>
          <cell r="AG13">
            <v>1730</v>
          </cell>
          <cell r="AH13">
            <v>2628</v>
          </cell>
          <cell r="AI13">
            <v>3595</v>
          </cell>
          <cell r="AJ13">
            <v>4510</v>
          </cell>
          <cell r="AK13">
            <v>5401</v>
          </cell>
          <cell r="AL13">
            <v>6279</v>
          </cell>
          <cell r="AM13">
            <v>7182</v>
          </cell>
          <cell r="AN13">
            <v>8067</v>
          </cell>
          <cell r="AO13">
            <v>8973</v>
          </cell>
          <cell r="AP13">
            <v>9886</v>
          </cell>
          <cell r="AQ13">
            <v>10748</v>
          </cell>
        </row>
        <row r="14">
          <cell r="Q14" t="str">
            <v>2007S01_N_11</v>
          </cell>
          <cell r="R14">
            <v>29941</v>
          </cell>
          <cell r="S14">
            <v>32594</v>
          </cell>
          <cell r="T14">
            <v>32140</v>
          </cell>
          <cell r="U14">
            <v>34847</v>
          </cell>
          <cell r="V14">
            <v>33137</v>
          </cell>
          <cell r="W14">
            <v>32766</v>
          </cell>
          <cell r="X14">
            <v>32714</v>
          </cell>
          <cell r="Y14">
            <v>33328</v>
          </cell>
          <cell r="Z14">
            <v>32695</v>
          </cell>
          <cell r="AA14">
            <v>33169</v>
          </cell>
          <cell r="AB14">
            <v>33030</v>
          </cell>
          <cell r="AC14">
            <v>32112</v>
          </cell>
          <cell r="AE14" t="str">
            <v>2007S01_N_11</v>
          </cell>
          <cell r="AF14">
            <v>29941</v>
          </cell>
          <cell r="AG14">
            <v>62535</v>
          </cell>
          <cell r="AH14">
            <v>94675</v>
          </cell>
          <cell r="AI14">
            <v>129522</v>
          </cell>
          <cell r="AJ14">
            <v>162659</v>
          </cell>
          <cell r="AK14">
            <v>195425</v>
          </cell>
          <cell r="AL14">
            <v>228139</v>
          </cell>
          <cell r="AM14">
            <v>261467</v>
          </cell>
          <cell r="AN14">
            <v>294162</v>
          </cell>
          <cell r="AO14">
            <v>327331</v>
          </cell>
          <cell r="AP14">
            <v>360361</v>
          </cell>
          <cell r="AQ14">
            <v>392473</v>
          </cell>
        </row>
        <row r="15">
          <cell r="Q15" t="str">
            <v>2007S01_N_12</v>
          </cell>
          <cell r="R15">
            <v>23354</v>
          </cell>
          <cell r="S15">
            <v>25424</v>
          </cell>
          <cell r="T15">
            <v>25069</v>
          </cell>
          <cell r="U15">
            <v>27180</v>
          </cell>
          <cell r="V15">
            <v>25846</v>
          </cell>
          <cell r="W15">
            <v>25557</v>
          </cell>
          <cell r="X15">
            <v>25518</v>
          </cell>
          <cell r="Y15">
            <v>25994</v>
          </cell>
          <cell r="Z15">
            <v>25502</v>
          </cell>
          <cell r="AA15">
            <v>25871</v>
          </cell>
          <cell r="AB15">
            <v>25762</v>
          </cell>
          <cell r="AC15">
            <v>25048</v>
          </cell>
          <cell r="AE15" t="str">
            <v>2007S01_N_12</v>
          </cell>
          <cell r="AF15">
            <v>23354</v>
          </cell>
          <cell r="AG15">
            <v>48778</v>
          </cell>
          <cell r="AH15">
            <v>73847</v>
          </cell>
          <cell r="AI15">
            <v>101027</v>
          </cell>
          <cell r="AJ15">
            <v>126873</v>
          </cell>
          <cell r="AK15">
            <v>152430</v>
          </cell>
          <cell r="AL15">
            <v>177948</v>
          </cell>
          <cell r="AM15">
            <v>203942</v>
          </cell>
          <cell r="AN15">
            <v>229444</v>
          </cell>
          <cell r="AO15">
            <v>255315</v>
          </cell>
          <cell r="AP15">
            <v>281077</v>
          </cell>
          <cell r="AQ15">
            <v>306125</v>
          </cell>
        </row>
        <row r="16">
          <cell r="Q16" t="str">
            <v>2007S01_N_13</v>
          </cell>
          <cell r="R16">
            <v>11210</v>
          </cell>
          <cell r="S16">
            <v>12203</v>
          </cell>
          <cell r="T16">
            <v>12033</v>
          </cell>
          <cell r="U16">
            <v>13046</v>
          </cell>
          <cell r="V16">
            <v>12406</v>
          </cell>
          <cell r="W16">
            <v>12268</v>
          </cell>
          <cell r="X16">
            <v>12249</v>
          </cell>
          <cell r="Y16">
            <v>12479</v>
          </cell>
          <cell r="Z16">
            <v>12243</v>
          </cell>
          <cell r="AA16">
            <v>12419</v>
          </cell>
          <cell r="AB16">
            <v>12366</v>
          </cell>
          <cell r="AC16">
            <v>12023</v>
          </cell>
          <cell r="AE16" t="str">
            <v>2007S01_N_13</v>
          </cell>
          <cell r="AF16">
            <v>11210</v>
          </cell>
          <cell r="AG16">
            <v>23413</v>
          </cell>
          <cell r="AH16">
            <v>35446</v>
          </cell>
          <cell r="AI16">
            <v>48492</v>
          </cell>
          <cell r="AJ16">
            <v>60898</v>
          </cell>
          <cell r="AK16">
            <v>73166</v>
          </cell>
          <cell r="AL16">
            <v>85415</v>
          </cell>
          <cell r="AM16">
            <v>97894</v>
          </cell>
          <cell r="AN16">
            <v>110137</v>
          </cell>
          <cell r="AO16">
            <v>122556</v>
          </cell>
          <cell r="AP16">
            <v>134922</v>
          </cell>
          <cell r="AQ16">
            <v>146945</v>
          </cell>
        </row>
        <row r="17">
          <cell r="Q17" t="str">
            <v>2008V01_N_11</v>
          </cell>
          <cell r="R17">
            <v>42250</v>
          </cell>
          <cell r="S17">
            <v>47400</v>
          </cell>
          <cell r="T17">
            <v>48127</v>
          </cell>
          <cell r="U17">
            <v>55748</v>
          </cell>
          <cell r="V17">
            <v>57155</v>
          </cell>
          <cell r="W17">
            <v>54671</v>
          </cell>
          <cell r="X17">
            <v>46453</v>
          </cell>
          <cell r="Y17">
            <v>47325</v>
          </cell>
          <cell r="Z17">
            <v>46426</v>
          </cell>
          <cell r="AA17">
            <v>47101</v>
          </cell>
          <cell r="AB17">
            <v>46903</v>
          </cell>
          <cell r="AC17">
            <v>45600</v>
          </cell>
          <cell r="AE17" t="str">
            <v>2008V01_N_11</v>
          </cell>
          <cell r="AF17">
            <v>42250</v>
          </cell>
          <cell r="AG17">
            <v>89650</v>
          </cell>
          <cell r="AH17">
            <v>137777</v>
          </cell>
          <cell r="AI17">
            <v>193525</v>
          </cell>
          <cell r="AJ17">
            <v>250680</v>
          </cell>
          <cell r="AK17">
            <v>305351</v>
          </cell>
          <cell r="AL17">
            <v>351804</v>
          </cell>
          <cell r="AM17">
            <v>399129</v>
          </cell>
          <cell r="AN17">
            <v>445555</v>
          </cell>
          <cell r="AO17">
            <v>492656</v>
          </cell>
          <cell r="AP17">
            <v>539559</v>
          </cell>
          <cell r="AQ17">
            <v>585159</v>
          </cell>
        </row>
        <row r="18">
          <cell r="Q18" t="str">
            <v>2008V01_N_12</v>
          </cell>
          <cell r="R18">
            <v>32955</v>
          </cell>
          <cell r="S18">
            <v>36971</v>
          </cell>
          <cell r="T18">
            <v>37539</v>
          </cell>
          <cell r="U18">
            <v>43477</v>
          </cell>
          <cell r="V18">
            <v>44582</v>
          </cell>
          <cell r="W18">
            <v>42643</v>
          </cell>
          <cell r="X18">
            <v>36234</v>
          </cell>
          <cell r="Y18">
            <v>36914</v>
          </cell>
          <cell r="Z18">
            <v>36210</v>
          </cell>
          <cell r="AA18">
            <v>36738</v>
          </cell>
          <cell r="AB18">
            <v>36583</v>
          </cell>
          <cell r="AC18">
            <v>35570</v>
          </cell>
          <cell r="AE18" t="str">
            <v>2008V01_N_12</v>
          </cell>
          <cell r="AF18">
            <v>32955</v>
          </cell>
          <cell r="AG18">
            <v>69926</v>
          </cell>
          <cell r="AH18">
            <v>107465</v>
          </cell>
          <cell r="AI18">
            <v>150942</v>
          </cell>
          <cell r="AJ18">
            <v>195524</v>
          </cell>
          <cell r="AK18">
            <v>238167</v>
          </cell>
          <cell r="AL18">
            <v>274401</v>
          </cell>
          <cell r="AM18">
            <v>311315</v>
          </cell>
          <cell r="AN18">
            <v>347525</v>
          </cell>
          <cell r="AO18">
            <v>384263</v>
          </cell>
          <cell r="AP18">
            <v>420846</v>
          </cell>
          <cell r="AQ18">
            <v>456416</v>
          </cell>
        </row>
        <row r="19">
          <cell r="Q19" t="str">
            <v>2008V01_N_13</v>
          </cell>
          <cell r="R19">
            <v>15818</v>
          </cell>
          <cell r="S19">
            <v>17748</v>
          </cell>
          <cell r="T19">
            <v>18019</v>
          </cell>
          <cell r="U19">
            <v>20870</v>
          </cell>
          <cell r="V19">
            <v>21399</v>
          </cell>
          <cell r="W19">
            <v>20471</v>
          </cell>
          <cell r="X19">
            <v>17391</v>
          </cell>
          <cell r="Y19">
            <v>17720</v>
          </cell>
          <cell r="Z19">
            <v>17384</v>
          </cell>
          <cell r="AA19">
            <v>17634</v>
          </cell>
          <cell r="AB19">
            <v>17559</v>
          </cell>
          <cell r="AC19">
            <v>17074</v>
          </cell>
          <cell r="AE19" t="str">
            <v>2008V01_N_13</v>
          </cell>
          <cell r="AF19">
            <v>15818</v>
          </cell>
          <cell r="AG19">
            <v>33566</v>
          </cell>
          <cell r="AH19">
            <v>51585</v>
          </cell>
          <cell r="AI19">
            <v>72455</v>
          </cell>
          <cell r="AJ19">
            <v>93854</v>
          </cell>
          <cell r="AK19">
            <v>114325</v>
          </cell>
          <cell r="AL19">
            <v>131716</v>
          </cell>
          <cell r="AM19">
            <v>149436</v>
          </cell>
          <cell r="AN19">
            <v>166820</v>
          </cell>
          <cell r="AO19">
            <v>184454</v>
          </cell>
          <cell r="AP19">
            <v>202013</v>
          </cell>
          <cell r="AQ19">
            <v>219087</v>
          </cell>
        </row>
        <row r="20">
          <cell r="Q20" t="str">
            <v>2007S01_M_11</v>
          </cell>
          <cell r="R20">
            <v>8371</v>
          </cell>
          <cell r="S20">
            <v>8790</v>
          </cell>
          <cell r="T20">
            <v>8347</v>
          </cell>
          <cell r="U20">
            <v>8255</v>
          </cell>
          <cell r="V20">
            <v>8274</v>
          </cell>
          <cell r="W20">
            <v>8170</v>
          </cell>
          <cell r="X20">
            <v>8329</v>
          </cell>
          <cell r="Y20">
            <v>8573</v>
          </cell>
          <cell r="Z20">
            <v>8447</v>
          </cell>
          <cell r="AA20">
            <v>8412</v>
          </cell>
          <cell r="AB20">
            <v>8518</v>
          </cell>
          <cell r="AC20">
            <v>7972</v>
          </cell>
          <cell r="AE20" t="str">
            <v>2007S01_M_11</v>
          </cell>
          <cell r="AF20">
            <v>8371</v>
          </cell>
          <cell r="AG20">
            <v>17161</v>
          </cell>
          <cell r="AH20">
            <v>25508</v>
          </cell>
          <cell r="AI20">
            <v>33763</v>
          </cell>
          <cell r="AJ20">
            <v>42037</v>
          </cell>
          <cell r="AK20">
            <v>50207</v>
          </cell>
          <cell r="AL20">
            <v>58536</v>
          </cell>
          <cell r="AM20">
            <v>67109</v>
          </cell>
          <cell r="AN20">
            <v>75556</v>
          </cell>
          <cell r="AO20">
            <v>83968</v>
          </cell>
          <cell r="AP20">
            <v>92486</v>
          </cell>
          <cell r="AQ20">
            <v>100458</v>
          </cell>
        </row>
        <row r="21">
          <cell r="Q21" t="str">
            <v>2007S01_M_12</v>
          </cell>
          <cell r="R21">
            <v>6529</v>
          </cell>
          <cell r="S21">
            <v>6857</v>
          </cell>
          <cell r="T21">
            <v>6510</v>
          </cell>
          <cell r="U21">
            <v>6438</v>
          </cell>
          <cell r="V21">
            <v>6453</v>
          </cell>
          <cell r="W21">
            <v>6373</v>
          </cell>
          <cell r="X21">
            <v>6496</v>
          </cell>
          <cell r="Y21">
            <v>6687</v>
          </cell>
          <cell r="Z21">
            <v>6589</v>
          </cell>
          <cell r="AA21">
            <v>6560</v>
          </cell>
          <cell r="AB21">
            <v>6645</v>
          </cell>
          <cell r="AC21">
            <v>6219</v>
          </cell>
          <cell r="AE21" t="str">
            <v>2007S01_M_12</v>
          </cell>
          <cell r="AF21">
            <v>6529</v>
          </cell>
          <cell r="AG21">
            <v>13386</v>
          </cell>
          <cell r="AH21">
            <v>19896</v>
          </cell>
          <cell r="AI21">
            <v>26334</v>
          </cell>
          <cell r="AJ21">
            <v>32787</v>
          </cell>
          <cell r="AK21">
            <v>39160</v>
          </cell>
          <cell r="AL21">
            <v>45656</v>
          </cell>
          <cell r="AM21">
            <v>52343</v>
          </cell>
          <cell r="AN21">
            <v>58932</v>
          </cell>
          <cell r="AO21">
            <v>65492</v>
          </cell>
          <cell r="AP21">
            <v>72137</v>
          </cell>
          <cell r="AQ21">
            <v>78356</v>
          </cell>
        </row>
        <row r="22">
          <cell r="Q22" t="str">
            <v>2007S01_M_13</v>
          </cell>
          <cell r="R22">
            <v>3134</v>
          </cell>
          <cell r="S22">
            <v>3292</v>
          </cell>
          <cell r="T22">
            <v>3125</v>
          </cell>
          <cell r="U22">
            <v>3091</v>
          </cell>
          <cell r="V22">
            <v>3097</v>
          </cell>
          <cell r="W22">
            <v>3060</v>
          </cell>
          <cell r="X22">
            <v>3117</v>
          </cell>
          <cell r="Y22">
            <v>3209</v>
          </cell>
          <cell r="Z22">
            <v>3163</v>
          </cell>
          <cell r="AA22">
            <v>3149</v>
          </cell>
          <cell r="AB22">
            <v>3189</v>
          </cell>
          <cell r="AC22">
            <v>2984</v>
          </cell>
          <cell r="AE22" t="str">
            <v>2007S01_M_13</v>
          </cell>
          <cell r="AF22">
            <v>3134</v>
          </cell>
          <cell r="AG22">
            <v>6426</v>
          </cell>
          <cell r="AH22">
            <v>9551</v>
          </cell>
          <cell r="AI22">
            <v>12642</v>
          </cell>
          <cell r="AJ22">
            <v>15739</v>
          </cell>
          <cell r="AK22">
            <v>18799</v>
          </cell>
          <cell r="AL22">
            <v>21916</v>
          </cell>
          <cell r="AM22">
            <v>25125</v>
          </cell>
          <cell r="AN22">
            <v>28288</v>
          </cell>
          <cell r="AO22">
            <v>31437</v>
          </cell>
          <cell r="AP22">
            <v>34626</v>
          </cell>
          <cell r="AQ22">
            <v>37610</v>
          </cell>
        </row>
        <row r="23">
          <cell r="Q23" t="str">
            <v>2008V01_M_11</v>
          </cell>
          <cell r="R23">
            <v>12055</v>
          </cell>
          <cell r="S23">
            <v>12658</v>
          </cell>
          <cell r="T23">
            <v>12019</v>
          </cell>
          <cell r="U23">
            <v>6319</v>
          </cell>
          <cell r="V23">
            <v>2469</v>
          </cell>
          <cell r="W23">
            <v>4272</v>
          </cell>
          <cell r="X23">
            <v>11826</v>
          </cell>
          <cell r="Y23">
            <v>12174</v>
          </cell>
          <cell r="Z23">
            <v>11997</v>
          </cell>
          <cell r="AA23">
            <v>11944</v>
          </cell>
          <cell r="AB23">
            <v>12097</v>
          </cell>
          <cell r="AC23">
            <v>11323</v>
          </cell>
          <cell r="AE23" t="str">
            <v>2008V01_M_11</v>
          </cell>
          <cell r="AF23">
            <v>12055</v>
          </cell>
          <cell r="AG23">
            <v>24713</v>
          </cell>
          <cell r="AH23">
            <v>36732</v>
          </cell>
          <cell r="AI23">
            <v>43051</v>
          </cell>
          <cell r="AJ23">
            <v>45520</v>
          </cell>
          <cell r="AK23">
            <v>49792</v>
          </cell>
          <cell r="AL23">
            <v>61618</v>
          </cell>
          <cell r="AM23">
            <v>73792</v>
          </cell>
          <cell r="AN23">
            <v>85789</v>
          </cell>
          <cell r="AO23">
            <v>97733</v>
          </cell>
          <cell r="AP23">
            <v>109830</v>
          </cell>
          <cell r="AQ23">
            <v>121153</v>
          </cell>
        </row>
        <row r="24">
          <cell r="Q24" t="str">
            <v>2008V01_M_12</v>
          </cell>
          <cell r="R24">
            <v>9402</v>
          </cell>
          <cell r="S24">
            <v>9873</v>
          </cell>
          <cell r="T24">
            <v>9375</v>
          </cell>
          <cell r="U24">
            <v>4929</v>
          </cell>
          <cell r="V24">
            <v>1924</v>
          </cell>
          <cell r="W24">
            <v>3335</v>
          </cell>
          <cell r="X24">
            <v>9225</v>
          </cell>
          <cell r="Y24">
            <v>9496</v>
          </cell>
          <cell r="Z24">
            <v>9359</v>
          </cell>
          <cell r="AA24">
            <v>9315</v>
          </cell>
          <cell r="AB24">
            <v>9434</v>
          </cell>
          <cell r="AC24">
            <v>8831</v>
          </cell>
          <cell r="AE24" t="str">
            <v>2008V01_M_12</v>
          </cell>
          <cell r="AF24">
            <v>9402</v>
          </cell>
          <cell r="AG24">
            <v>19275</v>
          </cell>
          <cell r="AH24">
            <v>28650</v>
          </cell>
          <cell r="AI24">
            <v>33579</v>
          </cell>
          <cell r="AJ24">
            <v>35503</v>
          </cell>
          <cell r="AK24">
            <v>38838</v>
          </cell>
          <cell r="AL24">
            <v>48063</v>
          </cell>
          <cell r="AM24">
            <v>57559</v>
          </cell>
          <cell r="AN24">
            <v>66918</v>
          </cell>
          <cell r="AO24">
            <v>76233</v>
          </cell>
          <cell r="AP24">
            <v>85667</v>
          </cell>
          <cell r="AQ24">
            <v>94498</v>
          </cell>
        </row>
        <row r="25">
          <cell r="Q25" t="str">
            <v>2008V01_M_13</v>
          </cell>
          <cell r="R25">
            <v>4513</v>
          </cell>
          <cell r="S25">
            <v>4739</v>
          </cell>
          <cell r="T25">
            <v>4502</v>
          </cell>
          <cell r="U25">
            <v>2364</v>
          </cell>
          <cell r="V25">
            <v>924</v>
          </cell>
          <cell r="W25">
            <v>1597</v>
          </cell>
          <cell r="X25">
            <v>4427</v>
          </cell>
          <cell r="Y25">
            <v>4558</v>
          </cell>
          <cell r="Z25">
            <v>4492</v>
          </cell>
          <cell r="AA25">
            <v>4472</v>
          </cell>
          <cell r="AB25">
            <v>4530</v>
          </cell>
          <cell r="AC25">
            <v>4238</v>
          </cell>
          <cell r="AE25" t="str">
            <v>2008V01_M_13</v>
          </cell>
          <cell r="AF25">
            <v>4513</v>
          </cell>
          <cell r="AG25">
            <v>9252</v>
          </cell>
          <cell r="AH25">
            <v>13754</v>
          </cell>
          <cell r="AI25">
            <v>16118</v>
          </cell>
          <cell r="AJ25">
            <v>17042</v>
          </cell>
          <cell r="AK25">
            <v>18639</v>
          </cell>
          <cell r="AL25">
            <v>23066</v>
          </cell>
          <cell r="AM25">
            <v>27624</v>
          </cell>
          <cell r="AN25">
            <v>32116</v>
          </cell>
          <cell r="AO25">
            <v>36588</v>
          </cell>
          <cell r="AP25">
            <v>41118</v>
          </cell>
          <cell r="AQ25">
            <v>45356</v>
          </cell>
        </row>
        <row r="26">
          <cell r="Q26" t="str">
            <v>2007S01_A_11</v>
          </cell>
          <cell r="R26">
            <v>11967</v>
          </cell>
          <cell r="S26">
            <v>13307</v>
          </cell>
          <cell r="T26">
            <v>12597</v>
          </cell>
          <cell r="U26">
            <v>13851</v>
          </cell>
          <cell r="V26">
            <v>13343</v>
          </cell>
          <cell r="W26">
            <v>12871</v>
          </cell>
          <cell r="X26">
            <v>12141</v>
          </cell>
          <cell r="Y26">
            <v>13058</v>
          </cell>
          <cell r="Z26">
            <v>13048</v>
          </cell>
          <cell r="AA26">
            <v>13411</v>
          </cell>
          <cell r="AB26">
            <v>13115</v>
          </cell>
          <cell r="AC26">
            <v>12377</v>
          </cell>
          <cell r="AE26" t="str">
            <v>2007S01_A_11</v>
          </cell>
          <cell r="AF26">
            <v>11967</v>
          </cell>
          <cell r="AG26">
            <v>25274</v>
          </cell>
          <cell r="AH26">
            <v>37871</v>
          </cell>
          <cell r="AI26">
            <v>51722</v>
          </cell>
          <cell r="AJ26">
            <v>65065</v>
          </cell>
          <cell r="AK26">
            <v>77936</v>
          </cell>
          <cell r="AL26">
            <v>90077</v>
          </cell>
          <cell r="AM26">
            <v>103135</v>
          </cell>
          <cell r="AN26">
            <v>116183</v>
          </cell>
          <cell r="AO26">
            <v>129594</v>
          </cell>
          <cell r="AP26">
            <v>142709</v>
          </cell>
          <cell r="AQ26">
            <v>155086</v>
          </cell>
        </row>
        <row r="27">
          <cell r="Q27" t="str">
            <v>2007S01_A_12</v>
          </cell>
          <cell r="R27">
            <v>9335</v>
          </cell>
          <cell r="S27">
            <v>10378</v>
          </cell>
          <cell r="T27">
            <v>9825</v>
          </cell>
          <cell r="U27">
            <v>10804</v>
          </cell>
          <cell r="V27">
            <v>10406</v>
          </cell>
          <cell r="W27">
            <v>10040</v>
          </cell>
          <cell r="X27">
            <v>9472</v>
          </cell>
          <cell r="Y27">
            <v>10182</v>
          </cell>
          <cell r="Z27">
            <v>10179</v>
          </cell>
          <cell r="AA27">
            <v>10463</v>
          </cell>
          <cell r="AB27">
            <v>10230</v>
          </cell>
          <cell r="AC27">
            <v>9656</v>
          </cell>
          <cell r="AE27" t="str">
            <v>2007S01_A_12</v>
          </cell>
          <cell r="AF27">
            <v>9335</v>
          </cell>
          <cell r="AG27">
            <v>19713</v>
          </cell>
          <cell r="AH27">
            <v>29538</v>
          </cell>
          <cell r="AI27">
            <v>40342</v>
          </cell>
          <cell r="AJ27">
            <v>50748</v>
          </cell>
          <cell r="AK27">
            <v>60788</v>
          </cell>
          <cell r="AL27">
            <v>70260</v>
          </cell>
          <cell r="AM27">
            <v>80442</v>
          </cell>
          <cell r="AN27">
            <v>90621</v>
          </cell>
          <cell r="AO27">
            <v>101084</v>
          </cell>
          <cell r="AP27">
            <v>111314</v>
          </cell>
          <cell r="AQ27">
            <v>120970</v>
          </cell>
        </row>
        <row r="28">
          <cell r="Q28" t="str">
            <v>2007S01_A_13</v>
          </cell>
          <cell r="R28">
            <v>4481</v>
          </cell>
          <cell r="S28">
            <v>4981</v>
          </cell>
          <cell r="T28">
            <v>4714</v>
          </cell>
          <cell r="U28">
            <v>5186</v>
          </cell>
          <cell r="V28">
            <v>4994</v>
          </cell>
          <cell r="W28">
            <v>4820</v>
          </cell>
          <cell r="X28">
            <v>4545</v>
          </cell>
          <cell r="Y28">
            <v>4888</v>
          </cell>
          <cell r="Z28">
            <v>4885</v>
          </cell>
          <cell r="AA28">
            <v>5022</v>
          </cell>
          <cell r="AB28">
            <v>4911</v>
          </cell>
          <cell r="AC28">
            <v>4632</v>
          </cell>
          <cell r="AE28" t="str">
            <v>2007S01_A_13</v>
          </cell>
          <cell r="AF28">
            <v>4481</v>
          </cell>
          <cell r="AG28">
            <v>9462</v>
          </cell>
          <cell r="AH28">
            <v>14176</v>
          </cell>
          <cell r="AI28">
            <v>19362</v>
          </cell>
          <cell r="AJ28">
            <v>24356</v>
          </cell>
          <cell r="AK28">
            <v>29176</v>
          </cell>
          <cell r="AL28">
            <v>33721</v>
          </cell>
          <cell r="AM28">
            <v>38609</v>
          </cell>
          <cell r="AN28">
            <v>43494</v>
          </cell>
          <cell r="AO28">
            <v>48516</v>
          </cell>
          <cell r="AP28">
            <v>53427</v>
          </cell>
          <cell r="AQ28">
            <v>58059</v>
          </cell>
        </row>
        <row r="29">
          <cell r="Q29" t="str">
            <v>2008V01_A_11</v>
          </cell>
          <cell r="R29">
            <v>17231</v>
          </cell>
          <cell r="S29">
            <v>19159</v>
          </cell>
          <cell r="T29">
            <v>18134</v>
          </cell>
          <cell r="U29">
            <v>19947</v>
          </cell>
          <cell r="V29">
            <v>19210</v>
          </cell>
          <cell r="W29">
            <v>18535</v>
          </cell>
          <cell r="X29">
            <v>17241</v>
          </cell>
          <cell r="Y29">
            <v>18538</v>
          </cell>
          <cell r="Z29">
            <v>18526</v>
          </cell>
          <cell r="AA29">
            <v>19045</v>
          </cell>
          <cell r="AB29">
            <v>18623</v>
          </cell>
          <cell r="AC29">
            <v>17574</v>
          </cell>
          <cell r="AE29" t="str">
            <v>2008V01_A_11</v>
          </cell>
          <cell r="AF29">
            <v>17231</v>
          </cell>
          <cell r="AG29">
            <v>36390</v>
          </cell>
          <cell r="AH29">
            <v>54524</v>
          </cell>
          <cell r="AI29">
            <v>74471</v>
          </cell>
          <cell r="AJ29">
            <v>93681</v>
          </cell>
          <cell r="AK29">
            <v>112216</v>
          </cell>
          <cell r="AL29">
            <v>129457</v>
          </cell>
          <cell r="AM29">
            <v>147995</v>
          </cell>
          <cell r="AN29">
            <v>166521</v>
          </cell>
          <cell r="AO29">
            <v>185566</v>
          </cell>
          <cell r="AP29">
            <v>204189</v>
          </cell>
          <cell r="AQ29">
            <v>221763</v>
          </cell>
        </row>
        <row r="30">
          <cell r="Q30" t="str">
            <v>2008V01_A_12</v>
          </cell>
          <cell r="R30">
            <v>13438</v>
          </cell>
          <cell r="S30">
            <v>14944</v>
          </cell>
          <cell r="T30">
            <v>14150</v>
          </cell>
          <cell r="U30">
            <v>15556</v>
          </cell>
          <cell r="V30">
            <v>14983</v>
          </cell>
          <cell r="W30">
            <v>14455</v>
          </cell>
          <cell r="X30">
            <v>13448</v>
          </cell>
          <cell r="Y30">
            <v>14461</v>
          </cell>
          <cell r="Z30">
            <v>14452</v>
          </cell>
          <cell r="AA30">
            <v>14855</v>
          </cell>
          <cell r="AB30">
            <v>14526</v>
          </cell>
          <cell r="AC30">
            <v>13709</v>
          </cell>
          <cell r="AE30" t="str">
            <v>2008V01_A_12</v>
          </cell>
          <cell r="AF30">
            <v>13438</v>
          </cell>
          <cell r="AG30">
            <v>28382</v>
          </cell>
          <cell r="AH30">
            <v>42532</v>
          </cell>
          <cell r="AI30">
            <v>58088</v>
          </cell>
          <cell r="AJ30">
            <v>73071</v>
          </cell>
          <cell r="AK30">
            <v>87526</v>
          </cell>
          <cell r="AL30">
            <v>100974</v>
          </cell>
          <cell r="AM30">
            <v>115435</v>
          </cell>
          <cell r="AN30">
            <v>129887</v>
          </cell>
          <cell r="AO30">
            <v>144742</v>
          </cell>
          <cell r="AP30">
            <v>159268</v>
          </cell>
          <cell r="AQ30">
            <v>172977</v>
          </cell>
        </row>
        <row r="31">
          <cell r="Q31" t="str">
            <v>2008V01_A_13</v>
          </cell>
          <cell r="R31">
            <v>6449</v>
          </cell>
          <cell r="S31">
            <v>7172</v>
          </cell>
          <cell r="T31">
            <v>6793</v>
          </cell>
          <cell r="U31">
            <v>7467</v>
          </cell>
          <cell r="V31">
            <v>7192</v>
          </cell>
          <cell r="W31">
            <v>6942</v>
          </cell>
          <cell r="X31">
            <v>6455</v>
          </cell>
          <cell r="Y31">
            <v>6941</v>
          </cell>
          <cell r="Z31">
            <v>6936</v>
          </cell>
          <cell r="AA31">
            <v>7131</v>
          </cell>
          <cell r="AB31">
            <v>6974</v>
          </cell>
          <cell r="AC31">
            <v>6580</v>
          </cell>
          <cell r="AE31" t="str">
            <v>2008V01_A_13</v>
          </cell>
          <cell r="AF31">
            <v>6449</v>
          </cell>
          <cell r="AG31">
            <v>13621</v>
          </cell>
          <cell r="AH31">
            <v>20414</v>
          </cell>
          <cell r="AI31">
            <v>27881</v>
          </cell>
          <cell r="AJ31">
            <v>35073</v>
          </cell>
          <cell r="AK31">
            <v>42015</v>
          </cell>
          <cell r="AL31">
            <v>48470</v>
          </cell>
          <cell r="AM31">
            <v>55411</v>
          </cell>
          <cell r="AN31">
            <v>62347</v>
          </cell>
          <cell r="AO31">
            <v>69478</v>
          </cell>
          <cell r="AP31">
            <v>76452</v>
          </cell>
          <cell r="AQ31">
            <v>83032</v>
          </cell>
        </row>
        <row r="32"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  <row r="36"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</row>
        <row r="37"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</row>
        <row r="38"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</row>
        <row r="39"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</row>
        <row r="40"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</row>
        <row r="41"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</row>
        <row r="42"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</row>
        <row r="43"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</row>
        <row r="44"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</row>
        <row r="45"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</row>
        <row r="46"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</row>
      </sheetData>
      <sheetData sheetId="8"/>
      <sheetData sheetId="9">
        <row r="1">
          <cell r="Q1" t="str">
            <v>klic</v>
          </cell>
          <cell r="R1">
            <v>1</v>
          </cell>
          <cell r="S1">
            <v>2</v>
          </cell>
          <cell r="T1">
            <v>3</v>
          </cell>
          <cell r="U1">
            <v>4</v>
          </cell>
          <cell r="V1">
            <v>5</v>
          </cell>
          <cell r="W1">
            <v>6</v>
          </cell>
          <cell r="X1">
            <v>7</v>
          </cell>
          <cell r="Y1">
            <v>8</v>
          </cell>
          <cell r="Z1">
            <v>9</v>
          </cell>
          <cell r="AA1">
            <v>10</v>
          </cell>
          <cell r="AB1">
            <v>11</v>
          </cell>
          <cell r="AC1">
            <v>12</v>
          </cell>
        </row>
        <row r="2">
          <cell r="Q2" t="str">
            <v>2006S01_T_11</v>
          </cell>
          <cell r="R2">
            <v>28840</v>
          </cell>
          <cell r="S2">
            <v>31152</v>
          </cell>
          <cell r="T2">
            <v>30477</v>
          </cell>
          <cell r="U2">
            <v>32447</v>
          </cell>
          <cell r="V2">
            <v>31173</v>
          </cell>
          <cell r="W2">
            <v>30817</v>
          </cell>
          <cell r="X2">
            <v>30896</v>
          </cell>
          <cell r="Y2">
            <v>31542</v>
          </cell>
          <cell r="Z2">
            <v>30973</v>
          </cell>
          <cell r="AA2">
            <v>31300</v>
          </cell>
          <cell r="AB2">
            <v>31277</v>
          </cell>
          <cell r="AC2">
            <v>30177</v>
          </cell>
        </row>
        <row r="3">
          <cell r="Q3" t="str">
            <v>2006S01_T_12</v>
          </cell>
          <cell r="R3">
            <v>22495</v>
          </cell>
          <cell r="S3">
            <v>24300</v>
          </cell>
          <cell r="T3">
            <v>23770</v>
          </cell>
          <cell r="U3">
            <v>25309</v>
          </cell>
          <cell r="V3">
            <v>24315</v>
          </cell>
          <cell r="W3">
            <v>24038</v>
          </cell>
          <cell r="X3">
            <v>24100</v>
          </cell>
          <cell r="Y3">
            <v>24600</v>
          </cell>
          <cell r="Z3">
            <v>24157</v>
          </cell>
          <cell r="AA3">
            <v>24415</v>
          </cell>
          <cell r="AB3">
            <v>24394</v>
          </cell>
          <cell r="AC3">
            <v>23536</v>
          </cell>
        </row>
        <row r="4">
          <cell r="Q4" t="str">
            <v>2006S01_T_13</v>
          </cell>
          <cell r="R4">
            <v>10799</v>
          </cell>
          <cell r="S4">
            <v>11663</v>
          </cell>
          <cell r="T4">
            <v>11412</v>
          </cell>
          <cell r="U4">
            <v>12147</v>
          </cell>
          <cell r="V4">
            <v>11671</v>
          </cell>
          <cell r="W4">
            <v>11538</v>
          </cell>
          <cell r="X4">
            <v>11567</v>
          </cell>
          <cell r="Y4">
            <v>11808</v>
          </cell>
          <cell r="Z4">
            <v>11596</v>
          </cell>
          <cell r="AA4">
            <v>11718</v>
          </cell>
          <cell r="AB4">
            <v>11709</v>
          </cell>
          <cell r="AC4">
            <v>11295</v>
          </cell>
        </row>
        <row r="5">
          <cell r="Q5" t="str">
            <v>2008V01_T_11</v>
          </cell>
          <cell r="R5">
            <v>55167</v>
          </cell>
          <cell r="S5">
            <v>59587</v>
          </cell>
          <cell r="T5">
            <v>58297</v>
          </cell>
          <cell r="U5">
            <v>62062</v>
          </cell>
          <cell r="V5">
            <v>59625</v>
          </cell>
          <cell r="W5">
            <v>58947</v>
          </cell>
          <cell r="X5">
            <v>58282</v>
          </cell>
          <cell r="Y5">
            <v>59499</v>
          </cell>
          <cell r="Z5">
            <v>58424</v>
          </cell>
          <cell r="AA5">
            <v>59043</v>
          </cell>
          <cell r="AB5">
            <v>59000</v>
          </cell>
          <cell r="AC5">
            <v>56921</v>
          </cell>
        </row>
        <row r="6">
          <cell r="Q6" t="str">
            <v>2008V01_T_12</v>
          </cell>
          <cell r="R6">
            <v>43032</v>
          </cell>
          <cell r="S6">
            <v>46482</v>
          </cell>
          <cell r="T6">
            <v>45470</v>
          </cell>
          <cell r="U6">
            <v>48408</v>
          </cell>
          <cell r="V6">
            <v>46505</v>
          </cell>
          <cell r="W6">
            <v>45978</v>
          </cell>
          <cell r="X6">
            <v>45461</v>
          </cell>
          <cell r="Y6">
            <v>46408</v>
          </cell>
          <cell r="Z6">
            <v>45571</v>
          </cell>
          <cell r="AA6">
            <v>46054</v>
          </cell>
          <cell r="AB6">
            <v>46020</v>
          </cell>
          <cell r="AC6">
            <v>44399</v>
          </cell>
        </row>
        <row r="7">
          <cell r="Q7" t="str">
            <v>2008V01_T_13</v>
          </cell>
          <cell r="R7">
            <v>20654</v>
          </cell>
          <cell r="S7">
            <v>22311</v>
          </cell>
          <cell r="T7">
            <v>21829</v>
          </cell>
          <cell r="U7">
            <v>23235</v>
          </cell>
          <cell r="V7">
            <v>22325</v>
          </cell>
          <cell r="W7">
            <v>22070</v>
          </cell>
          <cell r="X7">
            <v>21821</v>
          </cell>
          <cell r="Y7">
            <v>22275</v>
          </cell>
          <cell r="Z7">
            <v>21875</v>
          </cell>
          <cell r="AA7">
            <v>22107</v>
          </cell>
          <cell r="AB7">
            <v>22088</v>
          </cell>
          <cell r="AC7">
            <v>21312</v>
          </cell>
        </row>
        <row r="8">
          <cell r="Q8" t="str">
            <v>2006S01_Q_11</v>
          </cell>
          <cell r="R8">
            <v>1143</v>
          </cell>
          <cell r="S8">
            <v>1272</v>
          </cell>
          <cell r="T8">
            <v>1253</v>
          </cell>
          <cell r="U8">
            <v>1351</v>
          </cell>
          <cell r="V8">
            <v>1276</v>
          </cell>
          <cell r="W8">
            <v>1244</v>
          </cell>
          <cell r="X8">
            <v>1243</v>
          </cell>
          <cell r="Y8">
            <v>1280</v>
          </cell>
          <cell r="Z8">
            <v>1253</v>
          </cell>
          <cell r="AA8">
            <v>1281</v>
          </cell>
          <cell r="AB8">
            <v>1294</v>
          </cell>
          <cell r="AC8">
            <v>1222</v>
          </cell>
        </row>
        <row r="9">
          <cell r="B9" t="str">
            <v>11_A_</v>
          </cell>
          <cell r="Q9" t="str">
            <v>2006S01_Q_12</v>
          </cell>
          <cell r="R9">
            <v>892</v>
          </cell>
          <cell r="S9">
            <v>993</v>
          </cell>
          <cell r="T9">
            <v>979</v>
          </cell>
          <cell r="U9">
            <v>1054</v>
          </cell>
          <cell r="V9">
            <v>999</v>
          </cell>
          <cell r="W9">
            <v>969</v>
          </cell>
          <cell r="X9">
            <v>972</v>
          </cell>
          <cell r="Y9">
            <v>997</v>
          </cell>
          <cell r="Z9">
            <v>977</v>
          </cell>
          <cell r="AA9">
            <v>1000</v>
          </cell>
          <cell r="AB9">
            <v>1008</v>
          </cell>
          <cell r="AC9">
            <v>951</v>
          </cell>
        </row>
        <row r="10">
          <cell r="Q10" t="str">
            <v>2006S01_Q_13</v>
          </cell>
          <cell r="R10">
            <v>429</v>
          </cell>
          <cell r="S10">
            <v>477</v>
          </cell>
          <cell r="T10">
            <v>470</v>
          </cell>
          <cell r="U10">
            <v>505</v>
          </cell>
          <cell r="V10">
            <v>478</v>
          </cell>
          <cell r="W10">
            <v>467</v>
          </cell>
          <cell r="X10">
            <v>467</v>
          </cell>
          <cell r="Y10">
            <v>480</v>
          </cell>
          <cell r="Z10">
            <v>470</v>
          </cell>
          <cell r="AA10">
            <v>481</v>
          </cell>
          <cell r="AB10">
            <v>483</v>
          </cell>
          <cell r="AC10">
            <v>458</v>
          </cell>
        </row>
        <row r="11">
          <cell r="Q11" t="str">
            <v>2008V01_Q_11</v>
          </cell>
          <cell r="R11">
            <v>2189</v>
          </cell>
          <cell r="S11">
            <v>2437</v>
          </cell>
          <cell r="T11">
            <v>2400</v>
          </cell>
          <cell r="U11">
            <v>2586</v>
          </cell>
          <cell r="V11">
            <v>2445</v>
          </cell>
          <cell r="W11">
            <v>2376</v>
          </cell>
          <cell r="X11">
            <v>2349</v>
          </cell>
          <cell r="Y11">
            <v>2413</v>
          </cell>
          <cell r="Z11">
            <v>2363</v>
          </cell>
          <cell r="AA11">
            <v>2418</v>
          </cell>
          <cell r="AB11">
            <v>2438</v>
          </cell>
          <cell r="AC11">
            <v>2302</v>
          </cell>
        </row>
        <row r="12">
          <cell r="Q12" t="str">
            <v>2008V01_Q_12</v>
          </cell>
          <cell r="R12">
            <v>1705</v>
          </cell>
          <cell r="S12">
            <v>1898</v>
          </cell>
          <cell r="T12">
            <v>1870</v>
          </cell>
          <cell r="U12">
            <v>2017</v>
          </cell>
          <cell r="V12">
            <v>1907</v>
          </cell>
          <cell r="W12">
            <v>1856</v>
          </cell>
          <cell r="X12">
            <v>1829</v>
          </cell>
          <cell r="Y12">
            <v>1883</v>
          </cell>
          <cell r="Z12">
            <v>1842</v>
          </cell>
          <cell r="AA12">
            <v>1887</v>
          </cell>
          <cell r="AB12">
            <v>1901</v>
          </cell>
          <cell r="AC12">
            <v>1795</v>
          </cell>
        </row>
        <row r="13">
          <cell r="Q13" t="str">
            <v>2008V01_Q_13</v>
          </cell>
          <cell r="R13">
            <v>820</v>
          </cell>
          <cell r="S13">
            <v>910</v>
          </cell>
          <cell r="T13">
            <v>898</v>
          </cell>
          <cell r="U13">
            <v>967</v>
          </cell>
          <cell r="V13">
            <v>915</v>
          </cell>
          <cell r="W13">
            <v>891</v>
          </cell>
          <cell r="X13">
            <v>878</v>
          </cell>
          <cell r="Y13">
            <v>903</v>
          </cell>
          <cell r="Z13">
            <v>885</v>
          </cell>
          <cell r="AA13">
            <v>906</v>
          </cell>
          <cell r="AB13">
            <v>913</v>
          </cell>
          <cell r="AC13">
            <v>862</v>
          </cell>
        </row>
        <row r="14">
          <cell r="Q14" t="str">
            <v>2006S01_N_11</v>
          </cell>
          <cell r="R14">
            <v>22540</v>
          </cell>
          <cell r="S14">
            <v>24536</v>
          </cell>
          <cell r="T14">
            <v>24195</v>
          </cell>
          <cell r="U14">
            <v>26231</v>
          </cell>
          <cell r="V14">
            <v>24943</v>
          </cell>
          <cell r="W14">
            <v>24666</v>
          </cell>
          <cell r="X14">
            <v>24627</v>
          </cell>
          <cell r="Y14">
            <v>25088</v>
          </cell>
          <cell r="Z14">
            <v>24611</v>
          </cell>
          <cell r="AA14">
            <v>24970</v>
          </cell>
          <cell r="AB14">
            <v>24864</v>
          </cell>
          <cell r="AC14">
            <v>24174</v>
          </cell>
        </row>
        <row r="15">
          <cell r="Q15" t="str">
            <v>2006S01_N_12</v>
          </cell>
          <cell r="R15">
            <v>17579</v>
          </cell>
          <cell r="S15">
            <v>19138</v>
          </cell>
          <cell r="T15">
            <v>18872</v>
          </cell>
          <cell r="U15">
            <v>20461</v>
          </cell>
          <cell r="V15">
            <v>19457</v>
          </cell>
          <cell r="W15">
            <v>19238</v>
          </cell>
          <cell r="X15">
            <v>19208</v>
          </cell>
          <cell r="Y15">
            <v>19567</v>
          </cell>
          <cell r="Z15">
            <v>19197</v>
          </cell>
          <cell r="AA15">
            <v>19476</v>
          </cell>
          <cell r="AB15">
            <v>19394</v>
          </cell>
          <cell r="AC15">
            <v>18857</v>
          </cell>
        </row>
        <row r="16">
          <cell r="Q16" t="str">
            <v>2006S01_N_13</v>
          </cell>
          <cell r="R16">
            <v>8436</v>
          </cell>
          <cell r="S16">
            <v>9187</v>
          </cell>
          <cell r="T16">
            <v>9058</v>
          </cell>
          <cell r="U16">
            <v>9823</v>
          </cell>
          <cell r="V16">
            <v>9339</v>
          </cell>
          <cell r="W16">
            <v>9234</v>
          </cell>
          <cell r="X16">
            <v>9220</v>
          </cell>
          <cell r="Y16">
            <v>9393</v>
          </cell>
          <cell r="Z16">
            <v>9215</v>
          </cell>
          <cell r="AA16">
            <v>9348</v>
          </cell>
          <cell r="AB16">
            <v>9309</v>
          </cell>
          <cell r="AC16">
            <v>9050</v>
          </cell>
        </row>
        <row r="17">
          <cell r="Q17" t="str">
            <v>2008V01_N_11</v>
          </cell>
          <cell r="R17">
            <v>42250</v>
          </cell>
          <cell r="S17">
            <v>47400</v>
          </cell>
          <cell r="T17">
            <v>48127</v>
          </cell>
          <cell r="U17">
            <v>55748</v>
          </cell>
          <cell r="V17">
            <v>57155</v>
          </cell>
          <cell r="W17">
            <v>54671</v>
          </cell>
          <cell r="X17">
            <v>46453</v>
          </cell>
          <cell r="Y17">
            <v>47325</v>
          </cell>
          <cell r="Z17">
            <v>46426</v>
          </cell>
          <cell r="AA17">
            <v>47101</v>
          </cell>
          <cell r="AB17">
            <v>46903</v>
          </cell>
          <cell r="AC17">
            <v>45600</v>
          </cell>
        </row>
        <row r="18">
          <cell r="Q18" t="str">
            <v>2008V01_N_12</v>
          </cell>
          <cell r="R18">
            <v>32955</v>
          </cell>
          <cell r="S18">
            <v>36971</v>
          </cell>
          <cell r="T18">
            <v>37539</v>
          </cell>
          <cell r="U18">
            <v>43477</v>
          </cell>
          <cell r="V18">
            <v>44582</v>
          </cell>
          <cell r="W18">
            <v>42643</v>
          </cell>
          <cell r="X18">
            <v>36234</v>
          </cell>
          <cell r="Y18">
            <v>36914</v>
          </cell>
          <cell r="Z18">
            <v>36210</v>
          </cell>
          <cell r="AA18">
            <v>36738</v>
          </cell>
          <cell r="AB18">
            <v>36583</v>
          </cell>
          <cell r="AC18">
            <v>35570</v>
          </cell>
        </row>
        <row r="19">
          <cell r="Q19" t="str">
            <v>2008V01_N_13</v>
          </cell>
          <cell r="R19">
            <v>15818</v>
          </cell>
          <cell r="S19">
            <v>17748</v>
          </cell>
          <cell r="T19">
            <v>18019</v>
          </cell>
          <cell r="U19">
            <v>20870</v>
          </cell>
          <cell r="V19">
            <v>21399</v>
          </cell>
          <cell r="W19">
            <v>20471</v>
          </cell>
          <cell r="X19">
            <v>17391</v>
          </cell>
          <cell r="Y19">
            <v>17720</v>
          </cell>
          <cell r="Z19">
            <v>17384</v>
          </cell>
          <cell r="AA19">
            <v>17634</v>
          </cell>
          <cell r="AB19">
            <v>17559</v>
          </cell>
          <cell r="AC19">
            <v>17074</v>
          </cell>
        </row>
        <row r="20">
          <cell r="Q20" t="str">
            <v>2006S01_M_11</v>
          </cell>
          <cell r="R20">
            <v>6304</v>
          </cell>
          <cell r="S20">
            <v>6618</v>
          </cell>
          <cell r="T20">
            <v>6285</v>
          </cell>
          <cell r="U20">
            <v>6214</v>
          </cell>
          <cell r="V20">
            <v>6229</v>
          </cell>
          <cell r="W20">
            <v>6151</v>
          </cell>
          <cell r="X20">
            <v>6270</v>
          </cell>
          <cell r="Y20">
            <v>6454</v>
          </cell>
          <cell r="Z20">
            <v>6362</v>
          </cell>
          <cell r="AA20">
            <v>6331</v>
          </cell>
          <cell r="AB20">
            <v>6413</v>
          </cell>
          <cell r="AC20">
            <v>6002</v>
          </cell>
        </row>
        <row r="21">
          <cell r="Q21" t="str">
            <v>2006S01_M_12</v>
          </cell>
          <cell r="R21">
            <v>4915</v>
          </cell>
          <cell r="S21">
            <v>5162</v>
          </cell>
          <cell r="T21">
            <v>4902</v>
          </cell>
          <cell r="U21">
            <v>4848</v>
          </cell>
          <cell r="V21">
            <v>4859</v>
          </cell>
          <cell r="W21">
            <v>4799</v>
          </cell>
          <cell r="X21">
            <v>4891</v>
          </cell>
          <cell r="Y21">
            <v>5034</v>
          </cell>
          <cell r="Z21">
            <v>4961</v>
          </cell>
          <cell r="AA21">
            <v>4939</v>
          </cell>
          <cell r="AB21">
            <v>5002</v>
          </cell>
          <cell r="AC21">
            <v>4682</v>
          </cell>
        </row>
        <row r="22">
          <cell r="Q22" t="str">
            <v>2006S01_M_13</v>
          </cell>
          <cell r="R22">
            <v>2359</v>
          </cell>
          <cell r="S22">
            <v>2479</v>
          </cell>
          <cell r="T22">
            <v>2351</v>
          </cell>
          <cell r="U22">
            <v>2325</v>
          </cell>
          <cell r="V22">
            <v>2332</v>
          </cell>
          <cell r="W22">
            <v>2301</v>
          </cell>
          <cell r="X22">
            <v>2346</v>
          </cell>
          <cell r="Y22">
            <v>2416</v>
          </cell>
          <cell r="Z22">
            <v>2382</v>
          </cell>
          <cell r="AA22">
            <v>2370</v>
          </cell>
          <cell r="AB22">
            <v>2402</v>
          </cell>
          <cell r="AC22">
            <v>2248</v>
          </cell>
        </row>
        <row r="23">
          <cell r="Q23" t="str">
            <v>2008V01_M_11</v>
          </cell>
          <cell r="R23">
            <v>12055</v>
          </cell>
          <cell r="S23">
            <v>12658</v>
          </cell>
          <cell r="T23">
            <v>12019</v>
          </cell>
          <cell r="U23">
            <v>6319</v>
          </cell>
          <cell r="V23">
            <v>2469</v>
          </cell>
          <cell r="W23">
            <v>4272</v>
          </cell>
          <cell r="X23">
            <v>11826</v>
          </cell>
          <cell r="Y23">
            <v>12174</v>
          </cell>
          <cell r="Z23">
            <v>11997</v>
          </cell>
          <cell r="AA23">
            <v>11944</v>
          </cell>
          <cell r="AB23">
            <v>12097</v>
          </cell>
          <cell r="AC23">
            <v>11323</v>
          </cell>
        </row>
        <row r="24">
          <cell r="Q24" t="str">
            <v>2008V01_M_12</v>
          </cell>
          <cell r="R24">
            <v>9402</v>
          </cell>
          <cell r="S24">
            <v>9873</v>
          </cell>
          <cell r="T24">
            <v>9375</v>
          </cell>
          <cell r="U24">
            <v>4929</v>
          </cell>
          <cell r="V24">
            <v>1924</v>
          </cell>
          <cell r="W24">
            <v>3335</v>
          </cell>
          <cell r="X24">
            <v>9225</v>
          </cell>
          <cell r="Y24">
            <v>9496</v>
          </cell>
          <cell r="Z24">
            <v>9359</v>
          </cell>
          <cell r="AA24">
            <v>9315</v>
          </cell>
          <cell r="AB24">
            <v>9434</v>
          </cell>
          <cell r="AC24">
            <v>8831</v>
          </cell>
        </row>
        <row r="25">
          <cell r="Q25" t="str">
            <v>2008V01_M_13</v>
          </cell>
          <cell r="R25">
            <v>4513</v>
          </cell>
          <cell r="S25">
            <v>4739</v>
          </cell>
          <cell r="T25">
            <v>4502</v>
          </cell>
          <cell r="U25">
            <v>2364</v>
          </cell>
          <cell r="V25">
            <v>924</v>
          </cell>
          <cell r="W25">
            <v>1597</v>
          </cell>
          <cell r="X25">
            <v>4427</v>
          </cell>
          <cell r="Y25">
            <v>4558</v>
          </cell>
          <cell r="Z25">
            <v>4492</v>
          </cell>
          <cell r="AA25">
            <v>4472</v>
          </cell>
          <cell r="AB25">
            <v>4530</v>
          </cell>
          <cell r="AC25">
            <v>4238</v>
          </cell>
        </row>
        <row r="26">
          <cell r="Q26" t="str">
            <v>2006S01_A_11</v>
          </cell>
          <cell r="R26">
            <v>9011</v>
          </cell>
          <cell r="S26">
            <v>10017</v>
          </cell>
          <cell r="T26">
            <v>9483</v>
          </cell>
          <cell r="U26">
            <v>10427</v>
          </cell>
          <cell r="V26">
            <v>10044</v>
          </cell>
          <cell r="W26">
            <v>9690</v>
          </cell>
          <cell r="X26">
            <v>9141</v>
          </cell>
          <cell r="Y26">
            <v>9829</v>
          </cell>
          <cell r="Z26">
            <v>9823</v>
          </cell>
          <cell r="AA26">
            <v>10097</v>
          </cell>
          <cell r="AB26">
            <v>9873</v>
          </cell>
          <cell r="AC26">
            <v>9318</v>
          </cell>
        </row>
        <row r="27">
          <cell r="Q27" t="str">
            <v>2006S01_A_12</v>
          </cell>
          <cell r="R27">
            <v>7028</v>
          </cell>
          <cell r="S27">
            <v>7812</v>
          </cell>
          <cell r="T27">
            <v>7397</v>
          </cell>
          <cell r="U27">
            <v>8133</v>
          </cell>
          <cell r="V27">
            <v>7833</v>
          </cell>
          <cell r="W27">
            <v>7559</v>
          </cell>
          <cell r="X27">
            <v>7130</v>
          </cell>
          <cell r="Y27">
            <v>7666</v>
          </cell>
          <cell r="Z27">
            <v>7662</v>
          </cell>
          <cell r="AA27">
            <v>7876</v>
          </cell>
          <cell r="AB27">
            <v>7701</v>
          </cell>
          <cell r="AC27">
            <v>7267</v>
          </cell>
        </row>
        <row r="28">
          <cell r="Q28" t="str">
            <v>2006S01_A_13</v>
          </cell>
          <cell r="R28">
            <v>3374</v>
          </cell>
          <cell r="S28">
            <v>3750</v>
          </cell>
          <cell r="T28">
            <v>3550</v>
          </cell>
          <cell r="U28">
            <v>3905</v>
          </cell>
          <cell r="V28">
            <v>3760</v>
          </cell>
          <cell r="W28">
            <v>3627</v>
          </cell>
          <cell r="X28">
            <v>3422</v>
          </cell>
          <cell r="Y28">
            <v>3679</v>
          </cell>
          <cell r="Z28">
            <v>3678</v>
          </cell>
          <cell r="AA28">
            <v>3780</v>
          </cell>
          <cell r="AB28">
            <v>3698</v>
          </cell>
          <cell r="AC28">
            <v>3489</v>
          </cell>
        </row>
        <row r="29">
          <cell r="Q29" t="str">
            <v>2008V01_A_11</v>
          </cell>
          <cell r="R29">
            <v>17231</v>
          </cell>
          <cell r="S29">
            <v>19159</v>
          </cell>
          <cell r="T29">
            <v>18134</v>
          </cell>
          <cell r="U29">
            <v>19947</v>
          </cell>
          <cell r="V29">
            <v>19210</v>
          </cell>
          <cell r="W29">
            <v>18535</v>
          </cell>
          <cell r="X29">
            <v>17241</v>
          </cell>
          <cell r="Y29">
            <v>18538</v>
          </cell>
          <cell r="Z29">
            <v>18526</v>
          </cell>
          <cell r="AA29">
            <v>19045</v>
          </cell>
          <cell r="AB29">
            <v>18623</v>
          </cell>
          <cell r="AC29">
            <v>17574</v>
          </cell>
        </row>
        <row r="30">
          <cell r="Q30" t="str">
            <v>2008V01_A_12</v>
          </cell>
          <cell r="R30">
            <v>13438</v>
          </cell>
          <cell r="S30">
            <v>14944</v>
          </cell>
          <cell r="T30">
            <v>14150</v>
          </cell>
          <cell r="U30">
            <v>15556</v>
          </cell>
          <cell r="V30">
            <v>14983</v>
          </cell>
          <cell r="W30">
            <v>14455</v>
          </cell>
          <cell r="X30">
            <v>13448</v>
          </cell>
          <cell r="Y30">
            <v>14461</v>
          </cell>
          <cell r="Z30">
            <v>14452</v>
          </cell>
          <cell r="AA30">
            <v>14855</v>
          </cell>
          <cell r="AB30">
            <v>14526</v>
          </cell>
          <cell r="AC30">
            <v>13709</v>
          </cell>
        </row>
        <row r="31">
          <cell r="Q31" t="str">
            <v>2008V01_A_13</v>
          </cell>
          <cell r="R31">
            <v>6449</v>
          </cell>
          <cell r="S31">
            <v>7172</v>
          </cell>
          <cell r="T31">
            <v>6793</v>
          </cell>
          <cell r="U31">
            <v>7467</v>
          </cell>
          <cell r="V31">
            <v>7192</v>
          </cell>
          <cell r="W31">
            <v>6942</v>
          </cell>
          <cell r="X31">
            <v>6455</v>
          </cell>
          <cell r="Y31">
            <v>6941</v>
          </cell>
          <cell r="Z31">
            <v>6936</v>
          </cell>
          <cell r="AA31">
            <v>7131</v>
          </cell>
          <cell r="AB31">
            <v>6974</v>
          </cell>
          <cell r="AC31">
            <v>6580</v>
          </cell>
        </row>
      </sheetData>
      <sheetData sheetId="10">
        <row r="13">
          <cell r="K13">
            <v>6</v>
          </cell>
        </row>
        <row r="15">
          <cell r="C15">
            <v>1</v>
          </cell>
        </row>
        <row r="16">
          <cell r="D16" t="str">
            <v>2006S01</v>
          </cell>
          <cell r="E16" t="str">
            <v>2008V01</v>
          </cell>
        </row>
      </sheetData>
      <sheetData sheetId="11"/>
      <sheetData sheetId="12" refreshError="1"/>
      <sheetData sheetId="13" refreshError="1"/>
      <sheetData sheetId="14">
        <row r="1">
          <cell r="E1" t="str">
            <v>Číselník názvů</v>
          </cell>
        </row>
        <row r="2">
          <cell r="E2" t="str">
            <v>kod</v>
          </cell>
          <cell r="F2" t="str">
            <v>název</v>
          </cell>
        </row>
        <row r="3">
          <cell r="E3" t="str">
            <v>11</v>
          </cell>
          <cell r="F3" t="str">
            <v>stred 11</v>
          </cell>
        </row>
        <row r="4">
          <cell r="E4" t="str">
            <v>12</v>
          </cell>
          <cell r="F4" t="str">
            <v>stred 12</v>
          </cell>
        </row>
        <row r="5">
          <cell r="E5" t="str">
            <v>13</v>
          </cell>
          <cell r="F5" t="str">
            <v>stred 13</v>
          </cell>
        </row>
        <row r="6">
          <cell r="E6" t="str">
            <v>A</v>
          </cell>
          <cell r="F6" t="str">
            <v>rohlík</v>
          </cell>
        </row>
        <row r="7">
          <cell r="E7" t="str">
            <v>B</v>
          </cell>
          <cell r="F7" t="str">
            <v>koláč</v>
          </cell>
        </row>
        <row r="8">
          <cell r="E8" t="str">
            <v>C</v>
          </cell>
          <cell r="F8" t="str">
            <v>chléb</v>
          </cell>
        </row>
        <row r="9">
          <cell r="E9" t="str">
            <v>A1</v>
          </cell>
          <cell r="F9" t="str">
            <v>rohlík obyčejný</v>
          </cell>
        </row>
        <row r="10">
          <cell r="E10" t="str">
            <v>A2</v>
          </cell>
          <cell r="F10" t="str">
            <v>rohlík makovaný</v>
          </cell>
        </row>
        <row r="11">
          <cell r="E11" t="str">
            <v>A3</v>
          </cell>
          <cell r="F11" t="str">
            <v>rohlík graham</v>
          </cell>
        </row>
        <row r="12">
          <cell r="E12" t="str">
            <v>B1</v>
          </cell>
          <cell r="F12" t="str">
            <v>koláč makový</v>
          </cell>
        </row>
        <row r="13">
          <cell r="E13" t="str">
            <v>B2</v>
          </cell>
          <cell r="F13" t="str">
            <v>koláč povidlový</v>
          </cell>
        </row>
        <row r="14">
          <cell r="E14" t="str">
            <v>C1</v>
          </cell>
          <cell r="F14" t="str">
            <v>chléb obyčejný</v>
          </cell>
        </row>
        <row r="15">
          <cell r="E15" t="str">
            <v>C2</v>
          </cell>
          <cell r="F15" t="str">
            <v>chléb graham</v>
          </cell>
        </row>
        <row r="16">
          <cell r="E16" t="str">
            <v>A11</v>
          </cell>
          <cell r="F16" t="str">
            <v>rohlík obyčejný 50g</v>
          </cell>
        </row>
        <row r="17">
          <cell r="E17" t="str">
            <v>A12</v>
          </cell>
          <cell r="F17" t="str">
            <v>rohlík obyčejný 150g</v>
          </cell>
        </row>
        <row r="18">
          <cell r="E18" t="str">
            <v>A13</v>
          </cell>
          <cell r="F18" t="str">
            <v>rohlík obyčejný 400g</v>
          </cell>
        </row>
        <row r="19">
          <cell r="E19" t="str">
            <v>A21</v>
          </cell>
          <cell r="F19" t="str">
            <v>rohlík makovaný 50g</v>
          </cell>
        </row>
        <row r="20">
          <cell r="E20" t="str">
            <v>A22</v>
          </cell>
          <cell r="F20" t="str">
            <v>rohlík makovaný 150g</v>
          </cell>
        </row>
        <row r="21">
          <cell r="E21" t="str">
            <v>A31</v>
          </cell>
          <cell r="F21" t="str">
            <v>rohlík graham 50g</v>
          </cell>
        </row>
        <row r="22">
          <cell r="E22" t="str">
            <v>A32</v>
          </cell>
          <cell r="F22" t="str">
            <v>rohlík graham 150g</v>
          </cell>
        </row>
        <row r="23">
          <cell r="E23" t="str">
            <v>B11</v>
          </cell>
          <cell r="F23" t="str">
            <v>koláč makový 150g</v>
          </cell>
        </row>
        <row r="24">
          <cell r="E24" t="str">
            <v>B21</v>
          </cell>
          <cell r="F24" t="str">
            <v>koláč povidlový 150g</v>
          </cell>
        </row>
        <row r="25">
          <cell r="E25" t="str">
            <v>C12</v>
          </cell>
          <cell r="F25" t="str">
            <v>chléb obyčejný 400g</v>
          </cell>
        </row>
        <row r="26">
          <cell r="E26" t="str">
            <v>C23</v>
          </cell>
          <cell r="F26" t="str">
            <v>chléb graham 400g</v>
          </cell>
        </row>
      </sheetData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Úvod"/>
      <sheetName val="Duplikácia"/>
      <sheetName val="Vyplniť"/>
      <sheetName val="Rozsahy"/>
      <sheetName val="Selekcia"/>
      <sheetName val="Tabuľky"/>
      <sheetName val="Rýchla Analýza"/>
      <sheetName val="Vkladanie dát"/>
      <sheetName val="Štatistika"/>
      <sheetName val="Mená tabuliek 1"/>
      <sheetName val="Mená tabuliek 2"/>
      <sheetName val="Pokročilá selekcia"/>
      <sheetName val="Dynamické Dopĺňanie"/>
      <sheetName val="Textové F."/>
      <sheetName val="Overenie Textu"/>
      <sheetName val="Dátumové F."/>
      <sheetName val="Logické F."/>
      <sheetName val="Matematické F."/>
      <sheetName val="Formulár"/>
      <sheetName val="Graf1"/>
      <sheetName val="Transponovanie"/>
      <sheetName val="Maticové Vzorce"/>
      <sheetName val="Automatizacia Nazvov"/>
      <sheetName val="SumProduct"/>
      <sheetName val="Vyhľadávacie. F."/>
      <sheetName val="HLookup Data"/>
      <sheetName val="Import dát"/>
      <sheetName val="Texty na Stĺpce"/>
      <sheetName val="XML"/>
      <sheetName val="CHOOSE"/>
      <sheetName val="Rozbaľovací Zoznam"/>
      <sheetName val="Formulár lvl.2"/>
      <sheetName val="Data Form"/>
      <sheetName val="Hľadanie Riešenia"/>
      <sheetName val="Súhrn scenára"/>
      <sheetName val="Scenáre"/>
      <sheetName val="MATCH"/>
      <sheetName val="INDEX"/>
      <sheetName val="INDEX a MATCH"/>
      <sheetName val="Duplicity"/>
      <sheetName val="Kontingenčné tabulky"/>
      <sheetName val="Data"/>
      <sheetName val="Kontingenčné tabulky 2"/>
      <sheetName val="KONT"/>
      <sheetName val="KONT2"/>
      <sheetName val="KONT3"/>
      <sheetName val="KONT4"/>
      <sheetName val="Hlavička Makrá"/>
      <sheetName val="Schránka"/>
      <sheetName val="Prepojenie Aplikácii"/>
      <sheetName val="Správa o kompatibilite"/>
      <sheetName val="Konie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>
        <row r="2">
          <cell r="C2" t="str">
            <v>Air France</v>
          </cell>
          <cell r="D2" t="str">
            <v>ČSA</v>
          </cell>
          <cell r="E2" t="str">
            <v>Emirates</v>
          </cell>
          <cell r="F2" t="str">
            <v>SmartWings</v>
          </cell>
          <cell r="G2" t="str">
            <v>Ryannair</v>
          </cell>
          <cell r="H2" t="str">
            <v>Austrian</v>
          </cell>
        </row>
        <row r="3">
          <cell r="B3" t="str">
            <v>London</v>
          </cell>
          <cell r="C3">
            <v>2113</v>
          </cell>
          <cell r="D3">
            <v>14875</v>
          </cell>
          <cell r="E3">
            <v>8587</v>
          </cell>
          <cell r="F3">
            <v>6329</v>
          </cell>
          <cell r="G3">
            <v>8742</v>
          </cell>
          <cell r="H3">
            <v>9012</v>
          </cell>
        </row>
        <row r="4">
          <cell r="B4" t="str">
            <v>Paris</v>
          </cell>
          <cell r="C4">
            <v>11717</v>
          </cell>
          <cell r="D4">
            <v>6736</v>
          </cell>
          <cell r="E4">
            <v>11330</v>
          </cell>
          <cell r="F4">
            <v>6570</v>
          </cell>
          <cell r="G4">
            <v>6846</v>
          </cell>
          <cell r="H4">
            <v>8074</v>
          </cell>
        </row>
        <row r="5">
          <cell r="B5" t="str">
            <v>Dubai</v>
          </cell>
          <cell r="C5">
            <v>12633</v>
          </cell>
          <cell r="D5">
            <v>9779</v>
          </cell>
          <cell r="E5">
            <v>3670</v>
          </cell>
          <cell r="F5">
            <v>8116</v>
          </cell>
          <cell r="G5">
            <v>3196</v>
          </cell>
          <cell r="H5">
            <v>8650</v>
          </cell>
        </row>
        <row r="6">
          <cell r="B6" t="str">
            <v>New York</v>
          </cell>
          <cell r="C6">
            <v>9287</v>
          </cell>
          <cell r="D6">
            <v>4978</v>
          </cell>
          <cell r="E6">
            <v>8270</v>
          </cell>
          <cell r="F6">
            <v>15709</v>
          </cell>
          <cell r="G6">
            <v>12305</v>
          </cell>
          <cell r="H6">
            <v>15596</v>
          </cell>
        </row>
        <row r="7">
          <cell r="B7" t="str">
            <v>Hong Kong</v>
          </cell>
          <cell r="C7">
            <v>11214</v>
          </cell>
          <cell r="D7">
            <v>5911</v>
          </cell>
          <cell r="E7">
            <v>3864</v>
          </cell>
          <cell r="F7">
            <v>7637</v>
          </cell>
          <cell r="G7">
            <v>4939</v>
          </cell>
          <cell r="H7">
            <v>15684</v>
          </cell>
        </row>
        <row r="8">
          <cell r="B8" t="str">
            <v>Hurghada</v>
          </cell>
          <cell r="C8">
            <v>9823</v>
          </cell>
          <cell r="D8">
            <v>10490</v>
          </cell>
          <cell r="E8">
            <v>4730</v>
          </cell>
          <cell r="F8">
            <v>11609</v>
          </cell>
          <cell r="G8">
            <v>2663</v>
          </cell>
          <cell r="H8">
            <v>6122</v>
          </cell>
        </row>
        <row r="9">
          <cell r="B9" t="str">
            <v>Cairo</v>
          </cell>
          <cell r="C9">
            <v>2275</v>
          </cell>
          <cell r="D9">
            <v>14516</v>
          </cell>
          <cell r="E9">
            <v>5431</v>
          </cell>
          <cell r="F9">
            <v>15099</v>
          </cell>
          <cell r="G9">
            <v>1946</v>
          </cell>
          <cell r="H9">
            <v>12366</v>
          </cell>
        </row>
        <row r="10">
          <cell r="B10" t="str">
            <v>Wien</v>
          </cell>
          <cell r="C10">
            <v>4085</v>
          </cell>
          <cell r="D10">
            <v>7395</v>
          </cell>
          <cell r="E10">
            <v>4590</v>
          </cell>
          <cell r="F10">
            <v>12542</v>
          </cell>
          <cell r="G10">
            <v>4285</v>
          </cell>
          <cell r="H10">
            <v>11156</v>
          </cell>
        </row>
        <row r="11">
          <cell r="B11" t="str">
            <v>Moscow</v>
          </cell>
          <cell r="C11">
            <v>3205</v>
          </cell>
          <cell r="D11">
            <v>12537</v>
          </cell>
          <cell r="E11">
            <v>12228</v>
          </cell>
          <cell r="F11">
            <v>7064</v>
          </cell>
          <cell r="G11">
            <v>13947</v>
          </cell>
          <cell r="H11">
            <v>7176</v>
          </cell>
        </row>
        <row r="12">
          <cell r="B12" t="str">
            <v>Kiev</v>
          </cell>
          <cell r="C12">
            <v>11687</v>
          </cell>
          <cell r="D12">
            <v>5378</v>
          </cell>
          <cell r="E12">
            <v>14277</v>
          </cell>
          <cell r="F12">
            <v>13665</v>
          </cell>
          <cell r="G12">
            <v>14282</v>
          </cell>
          <cell r="H12">
            <v>5893</v>
          </cell>
        </row>
        <row r="13">
          <cell r="B13" t="str">
            <v>Košice</v>
          </cell>
          <cell r="C13">
            <v>2889</v>
          </cell>
          <cell r="D13">
            <v>4460</v>
          </cell>
          <cell r="E13">
            <v>3994</v>
          </cell>
          <cell r="F13">
            <v>11002</v>
          </cell>
          <cell r="G13">
            <v>6542</v>
          </cell>
          <cell r="H13">
            <v>10181</v>
          </cell>
        </row>
        <row r="14">
          <cell r="B14" t="str">
            <v>Bratislava</v>
          </cell>
          <cell r="C14">
            <v>2333</v>
          </cell>
          <cell r="D14">
            <v>7130</v>
          </cell>
          <cell r="E14">
            <v>11759</v>
          </cell>
          <cell r="F14">
            <v>6060</v>
          </cell>
          <cell r="G14">
            <v>14136</v>
          </cell>
          <cell r="H14">
            <v>4948</v>
          </cell>
        </row>
        <row r="15">
          <cell r="B15" t="str">
            <v>Budapest</v>
          </cell>
          <cell r="C15">
            <v>10284</v>
          </cell>
          <cell r="D15">
            <v>11095</v>
          </cell>
          <cell r="E15">
            <v>3198</v>
          </cell>
          <cell r="F15">
            <v>13098</v>
          </cell>
          <cell r="G15">
            <v>12650</v>
          </cell>
          <cell r="H15">
            <v>5600</v>
          </cell>
        </row>
        <row r="16">
          <cell r="B16" t="str">
            <v>Vilnius</v>
          </cell>
          <cell r="C16">
            <v>3566</v>
          </cell>
          <cell r="D16">
            <v>11871</v>
          </cell>
          <cell r="E16">
            <v>8774</v>
          </cell>
          <cell r="F16">
            <v>7173</v>
          </cell>
          <cell r="G16">
            <v>7523</v>
          </cell>
          <cell r="H16">
            <v>11718</v>
          </cell>
        </row>
        <row r="17">
          <cell r="B17" t="str">
            <v>Stockholm</v>
          </cell>
          <cell r="C17">
            <v>7854</v>
          </cell>
          <cell r="D17">
            <v>9320</v>
          </cell>
          <cell r="E17">
            <v>11522</v>
          </cell>
          <cell r="F17">
            <v>14493</v>
          </cell>
          <cell r="G17">
            <v>8242</v>
          </cell>
          <cell r="H17">
            <v>12557</v>
          </cell>
        </row>
        <row r="18">
          <cell r="B18" t="str">
            <v>Helsinki</v>
          </cell>
          <cell r="C18">
            <v>7227</v>
          </cell>
          <cell r="D18">
            <v>9874</v>
          </cell>
          <cell r="E18">
            <v>4869</v>
          </cell>
          <cell r="F18">
            <v>6921</v>
          </cell>
          <cell r="G18">
            <v>14561</v>
          </cell>
          <cell r="H18">
            <v>3197</v>
          </cell>
        </row>
        <row r="19">
          <cell r="B19" t="str">
            <v>Belfast</v>
          </cell>
          <cell r="C19">
            <v>10453</v>
          </cell>
          <cell r="D19">
            <v>6350</v>
          </cell>
          <cell r="E19">
            <v>2342</v>
          </cell>
          <cell r="F19">
            <v>5653</v>
          </cell>
          <cell r="G19">
            <v>10470</v>
          </cell>
          <cell r="H19">
            <v>10397</v>
          </cell>
        </row>
        <row r="20">
          <cell r="B20" t="str">
            <v>Madrid</v>
          </cell>
          <cell r="C20">
            <v>3068</v>
          </cell>
          <cell r="D20">
            <v>14657</v>
          </cell>
          <cell r="E20">
            <v>4563</v>
          </cell>
          <cell r="F20">
            <v>10889</v>
          </cell>
          <cell r="G20">
            <v>15065</v>
          </cell>
          <cell r="H20">
            <v>9942</v>
          </cell>
        </row>
        <row r="21">
          <cell r="B21" t="str">
            <v>Roma</v>
          </cell>
          <cell r="C21">
            <v>13109</v>
          </cell>
          <cell r="D21">
            <v>10463</v>
          </cell>
          <cell r="E21">
            <v>3751</v>
          </cell>
          <cell r="F21">
            <v>13901</v>
          </cell>
          <cell r="G21">
            <v>3818</v>
          </cell>
          <cell r="H21">
            <v>15347</v>
          </cell>
        </row>
        <row r="22">
          <cell r="B22" t="str">
            <v>Athens</v>
          </cell>
          <cell r="C22">
            <v>2150</v>
          </cell>
          <cell r="D22">
            <v>1531</v>
          </cell>
          <cell r="E22">
            <v>9328</v>
          </cell>
          <cell r="F22">
            <v>6871</v>
          </cell>
          <cell r="G22">
            <v>5043</v>
          </cell>
          <cell r="H22">
            <v>13675</v>
          </cell>
        </row>
      </sheetData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LOOKUP1"/>
      <sheetName val="Cvičenie 1"/>
      <sheetName val="Cvičenie 1 - Data"/>
      <sheetName val="Cvičenie 2"/>
      <sheetName val="Cvičenie 2 - Data"/>
      <sheetName val="VLOOKUP2"/>
      <sheetName val="Cvičenie 3"/>
      <sheetName val="Cvičenie 4"/>
      <sheetName val="Cvičenie 4 - Data"/>
      <sheetName val="HLOOKUP"/>
      <sheetName val="Cvičenie 5"/>
      <sheetName val="Cvičenie 5 - Data"/>
    </sheetNames>
    <sheetDataSet>
      <sheetData sheetId="0"/>
      <sheetData sheetId="1"/>
      <sheetData sheetId="2"/>
      <sheetData sheetId="3"/>
      <sheetData sheetId="4">
        <row r="2">
          <cell r="A2" t="str">
            <v>hot001</v>
          </cell>
        </row>
        <row r="3">
          <cell r="A3" t="str">
            <v>hot002</v>
          </cell>
        </row>
        <row r="4">
          <cell r="A4" t="str">
            <v>hot003</v>
          </cell>
        </row>
        <row r="5">
          <cell r="A5" t="str">
            <v>hot004</v>
          </cell>
        </row>
        <row r="6">
          <cell r="A6" t="str">
            <v>hot005</v>
          </cell>
        </row>
        <row r="7">
          <cell r="A7" t="str">
            <v>hot006</v>
          </cell>
        </row>
        <row r="8">
          <cell r="A8" t="str">
            <v>hot007</v>
          </cell>
        </row>
        <row r="9">
          <cell r="A9" t="str">
            <v>hot008</v>
          </cell>
        </row>
        <row r="10">
          <cell r="A10" t="str">
            <v>hot009</v>
          </cell>
        </row>
        <row r="11">
          <cell r="A11" t="str">
            <v>hot010</v>
          </cell>
        </row>
        <row r="12">
          <cell r="A12" t="str">
            <v>hot011</v>
          </cell>
        </row>
        <row r="13">
          <cell r="A13" t="str">
            <v>hot012</v>
          </cell>
        </row>
        <row r="14">
          <cell r="A14" t="str">
            <v>hot013</v>
          </cell>
        </row>
        <row r="15">
          <cell r="A15" t="str">
            <v>hot014</v>
          </cell>
        </row>
        <row r="16">
          <cell r="A16" t="str">
            <v>hos001</v>
          </cell>
        </row>
        <row r="17">
          <cell r="A17" t="str">
            <v>hos002</v>
          </cell>
        </row>
        <row r="18">
          <cell r="A18" t="str">
            <v>hos003</v>
          </cell>
        </row>
        <row r="19">
          <cell r="A19" t="str">
            <v>hos004</v>
          </cell>
        </row>
        <row r="20">
          <cell r="A20" t="str">
            <v>hos005</v>
          </cell>
        </row>
        <row r="21">
          <cell r="A21" t="str">
            <v>hos006</v>
          </cell>
        </row>
        <row r="22">
          <cell r="A22" t="str">
            <v>hos007</v>
          </cell>
        </row>
        <row r="23">
          <cell r="A23" t="str">
            <v>mot001</v>
          </cell>
        </row>
        <row r="24">
          <cell r="A24" t="str">
            <v>mot002</v>
          </cell>
        </row>
        <row r="25">
          <cell r="A25" t="str">
            <v>mot003</v>
          </cell>
        </row>
        <row r="26">
          <cell r="A26" t="str">
            <v>mot004</v>
          </cell>
        </row>
        <row r="27">
          <cell r="A27" t="str">
            <v>uby001</v>
          </cell>
        </row>
        <row r="28">
          <cell r="A28" t="str">
            <v>uby002</v>
          </cell>
        </row>
        <row r="29">
          <cell r="A29" t="str">
            <v>uby003</v>
          </cell>
        </row>
        <row r="30">
          <cell r="A30" t="str">
            <v>uby004</v>
          </cell>
        </row>
        <row r="31">
          <cell r="A31" t="str">
            <v>uby005</v>
          </cell>
        </row>
        <row r="32">
          <cell r="A32" t="str">
            <v>uby006</v>
          </cell>
        </row>
        <row r="33">
          <cell r="A33" t="str">
            <v>uby007</v>
          </cell>
        </row>
        <row r="34">
          <cell r="A34" t="str">
            <v>uby008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LOOKUP1"/>
      <sheetName val="Cvičenie 1"/>
      <sheetName val="Cvičenie 1 - Data"/>
      <sheetName val="Cvičenie 2"/>
      <sheetName val="Cvičenie 2 - Data"/>
      <sheetName val="VLOOKUP2"/>
      <sheetName val="Cvičenie 3"/>
      <sheetName val="Cvičenie 4"/>
      <sheetName val="Cvičenie 4 - Data"/>
      <sheetName val="HLOOKUP"/>
      <sheetName val="Cvičenie 5"/>
      <sheetName val="Cvičenie 5 - Data"/>
    </sheetNames>
    <sheetDataSet>
      <sheetData sheetId="0"/>
      <sheetData sheetId="1"/>
      <sheetData sheetId="2"/>
      <sheetData sheetId="3"/>
      <sheetData sheetId="4">
        <row r="2">
          <cell r="A2" t="str">
            <v>hot001</v>
          </cell>
        </row>
        <row r="3">
          <cell r="A3" t="str">
            <v>hot002</v>
          </cell>
        </row>
        <row r="4">
          <cell r="A4" t="str">
            <v>hot003</v>
          </cell>
        </row>
        <row r="5">
          <cell r="A5" t="str">
            <v>hot004</v>
          </cell>
        </row>
        <row r="6">
          <cell r="A6" t="str">
            <v>hot005</v>
          </cell>
        </row>
        <row r="7">
          <cell r="A7" t="str">
            <v>hot006</v>
          </cell>
        </row>
        <row r="8">
          <cell r="A8" t="str">
            <v>hot007</v>
          </cell>
        </row>
        <row r="9">
          <cell r="A9" t="str">
            <v>hot008</v>
          </cell>
        </row>
        <row r="10">
          <cell r="A10" t="str">
            <v>hot009</v>
          </cell>
        </row>
        <row r="11">
          <cell r="A11" t="str">
            <v>hot010</v>
          </cell>
        </row>
        <row r="12">
          <cell r="A12" t="str">
            <v>hot011</v>
          </cell>
        </row>
        <row r="13">
          <cell r="A13" t="str">
            <v>hot012</v>
          </cell>
        </row>
        <row r="14">
          <cell r="A14" t="str">
            <v>hot013</v>
          </cell>
        </row>
        <row r="15">
          <cell r="A15" t="str">
            <v>hot014</v>
          </cell>
        </row>
        <row r="16">
          <cell r="A16" t="str">
            <v>hos001</v>
          </cell>
        </row>
        <row r="17">
          <cell r="A17" t="str">
            <v>hos002</v>
          </cell>
        </row>
        <row r="18">
          <cell r="A18" t="str">
            <v>hos003</v>
          </cell>
        </row>
        <row r="19">
          <cell r="A19" t="str">
            <v>hos004</v>
          </cell>
        </row>
        <row r="20">
          <cell r="A20" t="str">
            <v>hos005</v>
          </cell>
        </row>
        <row r="21">
          <cell r="A21" t="str">
            <v>hos006</v>
          </cell>
        </row>
        <row r="22">
          <cell r="A22" t="str">
            <v>hos007</v>
          </cell>
        </row>
        <row r="23">
          <cell r="A23" t="str">
            <v>mot001</v>
          </cell>
        </row>
        <row r="24">
          <cell r="A24" t="str">
            <v>mot002</v>
          </cell>
        </row>
        <row r="25">
          <cell r="A25" t="str">
            <v>mot003</v>
          </cell>
        </row>
        <row r="26">
          <cell r="A26" t="str">
            <v>mot004</v>
          </cell>
        </row>
        <row r="27">
          <cell r="A27" t="str">
            <v>uby001</v>
          </cell>
        </row>
        <row r="28">
          <cell r="A28" t="str">
            <v>uby002</v>
          </cell>
        </row>
        <row r="29">
          <cell r="A29" t="str">
            <v>uby003</v>
          </cell>
        </row>
        <row r="30">
          <cell r="A30" t="str">
            <v>uby004</v>
          </cell>
        </row>
        <row r="31">
          <cell r="A31" t="str">
            <v>uby005</v>
          </cell>
        </row>
        <row r="32">
          <cell r="A32" t="str">
            <v>uby006</v>
          </cell>
        </row>
        <row r="33">
          <cell r="A33" t="str">
            <v>uby007</v>
          </cell>
        </row>
        <row r="34">
          <cell r="A34" t="str">
            <v>uby008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48EE5-006B-4768-B3D1-CA268387E241}">
  <sheetPr codeName="Hárok1">
    <tabColor rgb="FFFFC000"/>
  </sheetPr>
  <dimension ref="A1:S25"/>
  <sheetViews>
    <sheetView tabSelected="1" zoomScale="85" zoomScaleNormal="85" workbookViewId="0">
      <selection activeCell="J17" sqref="J17:J25"/>
    </sheetView>
  </sheetViews>
  <sheetFormatPr defaultRowHeight="14.45"/>
  <cols>
    <col min="1" max="1" width="14.140625" bestFit="1" customWidth="1"/>
    <col min="2" max="2" width="16.140625" bestFit="1" customWidth="1"/>
    <col min="3" max="3" width="12.85546875" bestFit="1" customWidth="1"/>
    <col min="4" max="4" width="15.140625" bestFit="1" customWidth="1"/>
    <col min="5" max="5" width="8" customWidth="1"/>
    <col min="6" max="6" width="16.140625" bestFit="1" customWidth="1"/>
    <col min="7" max="7" width="14.85546875" bestFit="1" customWidth="1"/>
    <col min="8" max="8" width="4.85546875" customWidth="1"/>
    <col min="9" max="9" width="16.140625" bestFit="1" customWidth="1"/>
    <col min="10" max="10" width="12.5703125" bestFit="1" customWidth="1"/>
    <col min="11" max="11" width="9.140625" customWidth="1"/>
    <col min="12" max="12" width="19.5703125" bestFit="1" customWidth="1"/>
    <col min="13" max="13" width="7.42578125" bestFit="1" customWidth="1"/>
  </cols>
  <sheetData>
    <row r="1" spans="1:19" ht="81" customHeight="1" thickBot="1">
      <c r="A1" s="85"/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</row>
    <row r="2" spans="1:19" ht="18.95" thickBot="1">
      <c r="A2" s="1"/>
      <c r="B2" s="87" t="s">
        <v>0</v>
      </c>
      <c r="C2" s="88"/>
      <c r="D2" s="88"/>
      <c r="E2" s="88"/>
      <c r="F2" s="88"/>
      <c r="G2" s="88"/>
      <c r="H2" s="88"/>
      <c r="I2" s="88"/>
      <c r="J2" s="88"/>
      <c r="K2" s="88"/>
      <c r="L2" s="89"/>
      <c r="M2" s="1"/>
      <c r="N2" s="1"/>
      <c r="O2" s="1"/>
      <c r="P2" s="1"/>
      <c r="Q2" s="1"/>
      <c r="R2" s="1"/>
      <c r="S2" s="1"/>
    </row>
    <row r="3" spans="1:19" ht="15.95" thickBo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.6">
      <c r="A4" s="1"/>
      <c r="B4" s="39" t="s">
        <v>1</v>
      </c>
      <c r="C4" s="40" t="s">
        <v>2</v>
      </c>
      <c r="D4" s="41" t="s">
        <v>3</v>
      </c>
      <c r="E4" s="1"/>
      <c r="F4" s="39" t="s">
        <v>1</v>
      </c>
      <c r="G4" s="41" t="s">
        <v>4</v>
      </c>
      <c r="H4" s="1"/>
      <c r="I4" s="39" t="s">
        <v>1</v>
      </c>
      <c r="J4" s="41" t="s">
        <v>5</v>
      </c>
      <c r="K4" s="1"/>
      <c r="L4" s="39" t="s">
        <v>1</v>
      </c>
      <c r="M4" s="41" t="s">
        <v>6</v>
      </c>
      <c r="N4" s="1"/>
      <c r="O4" s="1"/>
      <c r="P4" s="1"/>
      <c r="Q4" s="1"/>
      <c r="R4" s="1"/>
      <c r="S4" s="1"/>
    </row>
    <row r="5" spans="1:19" ht="15.6">
      <c r="A5" s="1"/>
      <c r="B5" s="42" t="s">
        <v>7</v>
      </c>
      <c r="C5" s="38"/>
      <c r="D5" s="43"/>
      <c r="E5" s="1"/>
      <c r="F5" s="42" t="s">
        <v>7</v>
      </c>
      <c r="G5" s="51"/>
      <c r="H5" s="1"/>
      <c r="I5" s="42" t="s">
        <v>8</v>
      </c>
      <c r="J5" s="43"/>
      <c r="K5" s="1"/>
      <c r="L5" s="42" t="s">
        <v>7</v>
      </c>
      <c r="M5" s="43"/>
      <c r="N5" s="1"/>
      <c r="O5" s="1"/>
      <c r="P5" s="1"/>
      <c r="Q5" s="1"/>
      <c r="R5" s="1"/>
      <c r="S5" s="1"/>
    </row>
    <row r="6" spans="1:19" ht="15.6">
      <c r="A6" s="1"/>
      <c r="B6" s="42" t="s">
        <v>9</v>
      </c>
      <c r="C6" s="38"/>
      <c r="D6" s="43"/>
      <c r="E6" s="1"/>
      <c r="F6" s="42" t="s">
        <v>9</v>
      </c>
      <c r="G6" s="51"/>
      <c r="H6" s="1"/>
      <c r="I6" s="42" t="s">
        <v>10</v>
      </c>
      <c r="J6" s="43"/>
      <c r="K6" s="1"/>
      <c r="L6" s="42" t="s">
        <v>9</v>
      </c>
      <c r="M6" s="43"/>
      <c r="N6" s="1"/>
      <c r="O6" s="1"/>
      <c r="P6" s="1"/>
      <c r="Q6" s="1"/>
      <c r="R6" s="1"/>
      <c r="S6" s="1"/>
    </row>
    <row r="7" spans="1:19" ht="15.6">
      <c r="A7" s="1"/>
      <c r="B7" s="42" t="s">
        <v>11</v>
      </c>
      <c r="C7" s="38"/>
      <c r="D7" s="43"/>
      <c r="E7" s="1"/>
      <c r="F7" s="42" t="s">
        <v>11</v>
      </c>
      <c r="G7" s="51"/>
      <c r="H7" s="1"/>
      <c r="I7" s="42" t="s">
        <v>12</v>
      </c>
      <c r="J7" s="43"/>
      <c r="K7" s="1"/>
      <c r="L7" s="42" t="s">
        <v>11</v>
      </c>
      <c r="M7" s="43"/>
      <c r="N7" s="1"/>
      <c r="O7" s="1"/>
      <c r="P7" s="1"/>
      <c r="Q7" s="1"/>
      <c r="R7" s="1"/>
      <c r="S7" s="1"/>
    </row>
    <row r="8" spans="1:19" ht="15.6">
      <c r="A8" s="1"/>
      <c r="B8" s="42" t="s">
        <v>13</v>
      </c>
      <c r="C8" s="38"/>
      <c r="D8" s="43"/>
      <c r="E8" s="1"/>
      <c r="F8" s="42" t="s">
        <v>13</v>
      </c>
      <c r="G8" s="51"/>
      <c r="H8" s="1"/>
      <c r="I8" s="42" t="s">
        <v>13</v>
      </c>
      <c r="J8" s="43"/>
      <c r="K8" s="1"/>
      <c r="L8" s="42" t="s">
        <v>13</v>
      </c>
      <c r="M8" s="43"/>
      <c r="N8" s="1"/>
      <c r="O8" s="1"/>
      <c r="P8" s="1"/>
      <c r="Q8" s="1"/>
      <c r="R8" s="1"/>
      <c r="S8" s="1"/>
    </row>
    <row r="9" spans="1:19" ht="15.6">
      <c r="A9" s="1"/>
      <c r="B9" s="42" t="s">
        <v>14</v>
      </c>
      <c r="C9" s="38"/>
      <c r="D9" s="43"/>
      <c r="E9" s="1"/>
      <c r="F9" s="42" t="s">
        <v>14</v>
      </c>
      <c r="G9" s="51"/>
      <c r="H9" s="1"/>
      <c r="I9" s="42" t="s">
        <v>14</v>
      </c>
      <c r="J9" s="43"/>
      <c r="K9" s="1"/>
      <c r="L9" s="42" t="s">
        <v>14</v>
      </c>
      <c r="M9" s="43"/>
      <c r="N9" s="1"/>
      <c r="O9" s="1"/>
      <c r="P9" s="1"/>
      <c r="Q9" s="1"/>
      <c r="R9" s="1"/>
      <c r="S9" s="1"/>
    </row>
    <row r="10" spans="1:19" ht="15.6">
      <c r="A10" s="1"/>
      <c r="B10" s="42" t="s">
        <v>15</v>
      </c>
      <c r="C10" s="38"/>
      <c r="D10" s="43"/>
      <c r="E10" s="1"/>
      <c r="F10" s="42" t="s">
        <v>15</v>
      </c>
      <c r="G10" s="51"/>
      <c r="H10" s="1"/>
      <c r="I10" s="42" t="s">
        <v>16</v>
      </c>
      <c r="J10" s="43"/>
      <c r="K10" s="1"/>
      <c r="L10" s="42" t="s">
        <v>15</v>
      </c>
      <c r="M10" s="43"/>
      <c r="N10" s="1"/>
      <c r="O10" s="1"/>
      <c r="P10" s="1"/>
      <c r="Q10" s="1"/>
      <c r="R10" s="1"/>
      <c r="S10" s="1"/>
    </row>
    <row r="11" spans="1:19" ht="15.6">
      <c r="A11" s="1"/>
      <c r="B11" s="42" t="s">
        <v>17</v>
      </c>
      <c r="C11" s="38"/>
      <c r="D11" s="43"/>
      <c r="E11" s="1"/>
      <c r="F11" s="42" t="s">
        <v>17</v>
      </c>
      <c r="G11" s="51"/>
      <c r="H11" s="1"/>
      <c r="I11" s="42" t="s">
        <v>18</v>
      </c>
      <c r="J11" s="43"/>
      <c r="K11" s="1"/>
      <c r="L11" s="42" t="s">
        <v>17</v>
      </c>
      <c r="M11" s="43"/>
      <c r="N11" s="1"/>
      <c r="O11" s="1"/>
      <c r="P11" s="1"/>
      <c r="Q11" s="1"/>
      <c r="R11" s="1"/>
      <c r="S11" s="1"/>
    </row>
    <row r="12" spans="1:19" ht="15.6">
      <c r="A12" s="1"/>
      <c r="B12" s="42" t="s">
        <v>19</v>
      </c>
      <c r="C12" s="38"/>
      <c r="D12" s="43"/>
      <c r="E12" s="1"/>
      <c r="F12" s="42" t="s">
        <v>19</v>
      </c>
      <c r="G12" s="51"/>
      <c r="H12" s="1"/>
      <c r="I12" s="42" t="s">
        <v>20</v>
      </c>
      <c r="J12" s="43"/>
      <c r="K12" s="1"/>
      <c r="L12" s="42" t="s">
        <v>19</v>
      </c>
      <c r="M12" s="43"/>
      <c r="N12" s="1"/>
      <c r="O12" s="1"/>
      <c r="P12" s="1"/>
      <c r="Q12" s="1"/>
      <c r="R12" s="1"/>
      <c r="S12" s="1"/>
    </row>
    <row r="13" spans="1:19" ht="15.95" thickBot="1">
      <c r="A13" s="1"/>
      <c r="B13" s="44" t="s">
        <v>21</v>
      </c>
      <c r="C13" s="45"/>
      <c r="D13" s="46"/>
      <c r="E13" s="1"/>
      <c r="F13" s="44" t="s">
        <v>21</v>
      </c>
      <c r="G13" s="52"/>
      <c r="H13" s="1"/>
      <c r="I13" s="44" t="s">
        <v>22</v>
      </c>
      <c r="J13" s="46"/>
      <c r="K13" s="1"/>
      <c r="L13" s="44" t="s">
        <v>23</v>
      </c>
      <c r="M13" s="46"/>
      <c r="N13" s="1"/>
      <c r="O13" s="1"/>
      <c r="P13" s="1"/>
      <c r="Q13" s="1"/>
      <c r="R13" s="1"/>
      <c r="S13" s="1"/>
    </row>
    <row r="14" spans="1:19" ht="15.6">
      <c r="A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ht="15.95" thickBo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15.6">
      <c r="A16" s="1"/>
      <c r="B16" s="47" t="s">
        <v>2</v>
      </c>
      <c r="C16" s="40" t="s">
        <v>3</v>
      </c>
      <c r="D16" s="48" t="s">
        <v>1</v>
      </c>
      <c r="E16" s="1"/>
      <c r="F16" s="39" t="s">
        <v>24</v>
      </c>
      <c r="G16" s="41" t="s">
        <v>25</v>
      </c>
      <c r="H16" s="1"/>
      <c r="I16" s="39" t="s">
        <v>26</v>
      </c>
      <c r="J16" s="41" t="s">
        <v>27</v>
      </c>
      <c r="K16" s="1"/>
      <c r="L16" s="1"/>
      <c r="M16" s="1"/>
      <c r="N16" s="1"/>
      <c r="O16" s="1"/>
      <c r="P16" s="1"/>
      <c r="Q16" s="1"/>
      <c r="R16" s="1"/>
      <c r="S16" s="1"/>
    </row>
    <row r="17" spans="1:19" ht="15.6">
      <c r="A17" s="1"/>
      <c r="B17" s="42" t="s">
        <v>28</v>
      </c>
      <c r="C17" s="38" t="s">
        <v>29</v>
      </c>
      <c r="D17" s="43"/>
      <c r="E17" s="1"/>
      <c r="F17" s="42" t="s">
        <v>30</v>
      </c>
      <c r="G17" s="43"/>
      <c r="H17" s="1"/>
      <c r="I17" s="49">
        <v>43519</v>
      </c>
      <c r="J17" s="43"/>
      <c r="K17" s="1"/>
      <c r="L17" s="1"/>
      <c r="M17" s="1"/>
      <c r="N17" s="1"/>
      <c r="O17" s="1"/>
      <c r="P17" s="1"/>
      <c r="Q17" s="1"/>
      <c r="R17" s="1"/>
      <c r="S17" s="1"/>
    </row>
    <row r="18" spans="1:19" ht="15.6">
      <c r="A18" s="1"/>
      <c r="B18" s="42" t="s">
        <v>31</v>
      </c>
      <c r="C18" s="38" t="s">
        <v>29</v>
      </c>
      <c r="D18" s="43"/>
      <c r="E18" s="1"/>
      <c r="F18" s="42" t="s">
        <v>32</v>
      </c>
      <c r="G18" s="43"/>
      <c r="H18" s="1"/>
      <c r="I18" s="49">
        <v>43567</v>
      </c>
      <c r="J18" s="43"/>
      <c r="K18" s="1"/>
      <c r="L18" s="1"/>
      <c r="M18" s="1"/>
      <c r="N18" s="1"/>
      <c r="O18" s="1"/>
      <c r="P18" s="1"/>
      <c r="Q18" s="1"/>
      <c r="R18" s="1"/>
      <c r="S18" s="1"/>
    </row>
    <row r="19" spans="1:19" ht="15.6">
      <c r="A19" s="1"/>
      <c r="B19" s="42" t="s">
        <v>33</v>
      </c>
      <c r="C19" s="38" t="s">
        <v>29</v>
      </c>
      <c r="D19" s="43"/>
      <c r="E19" s="1"/>
      <c r="F19" s="42" t="s">
        <v>34</v>
      </c>
      <c r="G19" s="43"/>
      <c r="H19" s="1"/>
      <c r="I19" s="49">
        <v>43700</v>
      </c>
      <c r="J19" s="43"/>
      <c r="K19" s="1"/>
      <c r="L19" s="1"/>
      <c r="M19" s="1"/>
      <c r="N19" s="1"/>
      <c r="O19" s="1"/>
      <c r="P19" s="1"/>
      <c r="Q19" s="1"/>
      <c r="R19" s="1"/>
      <c r="S19" s="1"/>
    </row>
    <row r="20" spans="1:19" ht="15.6">
      <c r="A20" s="1"/>
      <c r="B20" s="42" t="s">
        <v>35</v>
      </c>
      <c r="C20" s="38" t="s">
        <v>29</v>
      </c>
      <c r="D20" s="43"/>
      <c r="E20" s="1"/>
      <c r="F20" s="42" t="s">
        <v>34</v>
      </c>
      <c r="G20" s="43"/>
      <c r="H20" s="1"/>
      <c r="I20" s="49">
        <v>43957</v>
      </c>
      <c r="J20" s="43"/>
      <c r="K20" s="1"/>
      <c r="L20" s="1"/>
      <c r="M20" s="1"/>
      <c r="N20" s="1"/>
      <c r="O20" s="1"/>
      <c r="P20" s="1"/>
      <c r="Q20" s="1"/>
      <c r="R20" s="1"/>
      <c r="S20" s="1"/>
    </row>
    <row r="21" spans="1:19" ht="15.6">
      <c r="A21" s="1"/>
      <c r="B21" s="42" t="s">
        <v>36</v>
      </c>
      <c r="C21" s="38" t="s">
        <v>29</v>
      </c>
      <c r="D21" s="43"/>
      <c r="E21" s="1"/>
      <c r="F21" s="42" t="s">
        <v>37</v>
      </c>
      <c r="G21" s="43"/>
      <c r="H21" s="1"/>
      <c r="I21" s="49">
        <v>43894</v>
      </c>
      <c r="J21" s="43"/>
      <c r="K21" s="1"/>
      <c r="L21" s="1"/>
      <c r="M21" s="1"/>
      <c r="N21" s="1"/>
      <c r="O21" s="1"/>
      <c r="P21" s="1"/>
      <c r="Q21" s="1"/>
      <c r="R21" s="1"/>
      <c r="S21" s="1"/>
    </row>
    <row r="22" spans="1:19" ht="15.6">
      <c r="A22" s="1"/>
      <c r="B22" s="42" t="s">
        <v>38</v>
      </c>
      <c r="C22" s="38" t="s">
        <v>29</v>
      </c>
      <c r="D22" s="43"/>
      <c r="E22" s="1"/>
      <c r="F22" s="42" t="s">
        <v>39</v>
      </c>
      <c r="G22" s="43"/>
      <c r="H22" s="1"/>
      <c r="I22" s="49">
        <v>43548</v>
      </c>
      <c r="J22" s="43"/>
      <c r="K22" s="1"/>
      <c r="L22" s="1"/>
      <c r="M22" s="1"/>
      <c r="N22" s="1"/>
      <c r="O22" s="1"/>
      <c r="P22" s="1"/>
      <c r="Q22" s="1"/>
      <c r="R22" s="1"/>
      <c r="S22" s="1"/>
    </row>
    <row r="23" spans="1:19" ht="15.6">
      <c r="A23" s="1"/>
      <c r="B23" s="42" t="s">
        <v>35</v>
      </c>
      <c r="C23" s="38" t="s">
        <v>29</v>
      </c>
      <c r="D23" s="43"/>
      <c r="E23" s="1"/>
      <c r="F23" s="42" t="s">
        <v>37</v>
      </c>
      <c r="G23" s="43"/>
      <c r="H23" s="1"/>
      <c r="I23" s="49">
        <v>44235</v>
      </c>
      <c r="J23" s="43"/>
      <c r="K23" s="1"/>
      <c r="L23" s="1"/>
      <c r="M23" s="1"/>
      <c r="N23" s="1"/>
      <c r="O23" s="1"/>
      <c r="P23" s="1"/>
      <c r="Q23" s="1"/>
      <c r="R23" s="1"/>
      <c r="S23" s="1"/>
    </row>
    <row r="24" spans="1:19" ht="15.6">
      <c r="A24" s="1"/>
      <c r="B24" s="42" t="s">
        <v>40</v>
      </c>
      <c r="C24" s="38" t="s">
        <v>29</v>
      </c>
      <c r="D24" s="43"/>
      <c r="E24" s="1"/>
      <c r="F24" s="42" t="s">
        <v>41</v>
      </c>
      <c r="G24" s="43"/>
      <c r="H24" s="1"/>
      <c r="I24" s="49">
        <v>44033</v>
      </c>
      <c r="J24" s="43"/>
      <c r="K24" s="1"/>
      <c r="L24" s="1"/>
      <c r="M24" s="1"/>
      <c r="N24" s="1"/>
      <c r="O24" s="1"/>
      <c r="P24" s="1"/>
      <c r="Q24" s="1"/>
      <c r="R24" s="1"/>
      <c r="S24" s="1"/>
    </row>
    <row r="25" spans="1:19" ht="15.95" thickBot="1">
      <c r="A25" s="1"/>
      <c r="B25" s="44" t="s">
        <v>42</v>
      </c>
      <c r="C25" s="45" t="s">
        <v>29</v>
      </c>
      <c r="D25" s="46"/>
      <c r="E25" s="1"/>
      <c r="F25" s="44" t="s">
        <v>37</v>
      </c>
      <c r="G25" s="46"/>
      <c r="H25" s="1"/>
      <c r="I25" s="50">
        <v>44132</v>
      </c>
      <c r="J25" s="46"/>
      <c r="K25" s="1"/>
      <c r="L25" s="1"/>
      <c r="M25" s="1"/>
      <c r="N25" s="1"/>
      <c r="O25" s="1"/>
      <c r="P25" s="1"/>
      <c r="Q25" s="1"/>
      <c r="R25" s="1"/>
      <c r="S25" s="1"/>
    </row>
  </sheetData>
  <mergeCells count="2">
    <mergeCell ref="A1:S1"/>
    <mergeCell ref="B2:L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D4E66-E989-4216-9459-813CD01AAFEB}">
  <sheetPr codeName="Hárok2">
    <tabColor theme="1"/>
  </sheetPr>
  <dimension ref="A1:T22"/>
  <sheetViews>
    <sheetView topLeftCell="A4" zoomScaleNormal="100" workbookViewId="0">
      <selection activeCell="H7" sqref="H7"/>
    </sheetView>
  </sheetViews>
  <sheetFormatPr defaultRowHeight="14.45"/>
  <sheetData>
    <row r="1" spans="1:20" ht="81" customHeight="1" thickBot="1">
      <c r="A1" s="85"/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1"/>
    </row>
    <row r="2" spans="1:20" ht="18.95" thickBot="1">
      <c r="A2" s="1"/>
      <c r="B2" s="87" t="s">
        <v>43</v>
      </c>
      <c r="C2" s="88"/>
      <c r="D2" s="88"/>
      <c r="E2" s="88"/>
      <c r="F2" s="88"/>
      <c r="G2" s="88"/>
      <c r="H2" s="88"/>
      <c r="I2" s="88"/>
      <c r="J2" s="88"/>
      <c r="K2" s="88"/>
      <c r="L2" s="89"/>
      <c r="M2" s="1"/>
      <c r="N2" s="1"/>
      <c r="O2" s="1"/>
      <c r="P2" s="1"/>
      <c r="Q2" s="1"/>
      <c r="R2" s="1"/>
      <c r="S2" s="1"/>
      <c r="T2" s="1"/>
    </row>
    <row r="4" spans="1:20" ht="15.6">
      <c r="A4" s="1"/>
      <c r="B4" s="1"/>
      <c r="C4" s="36" t="s">
        <v>44</v>
      </c>
      <c r="D4" s="37" t="s">
        <v>45</v>
      </c>
      <c r="E4" s="37" t="s">
        <v>46</v>
      </c>
      <c r="F4" s="37" t="s">
        <v>47</v>
      </c>
      <c r="G4" s="1"/>
      <c r="H4" s="1"/>
      <c r="I4" s="1"/>
      <c r="J4" s="36" t="s">
        <v>44</v>
      </c>
      <c r="K4" s="37" t="s">
        <v>45</v>
      </c>
      <c r="L4" s="37" t="s">
        <v>46</v>
      </c>
      <c r="M4" s="37" t="s">
        <v>47</v>
      </c>
      <c r="N4" s="1"/>
      <c r="O4" s="1"/>
      <c r="P4" s="1"/>
      <c r="Q4" s="36" t="s">
        <v>44</v>
      </c>
      <c r="R4" s="37" t="s">
        <v>45</v>
      </c>
      <c r="S4" s="37" t="s">
        <v>46</v>
      </c>
      <c r="T4" s="37" t="s">
        <v>47</v>
      </c>
    </row>
    <row r="5" spans="1:20" ht="15.6">
      <c r="A5" s="1"/>
      <c r="B5" s="2" t="s">
        <v>48</v>
      </c>
      <c r="C5" s="3">
        <v>3</v>
      </c>
      <c r="D5" s="3">
        <v>7</v>
      </c>
      <c r="E5" s="3">
        <v>30</v>
      </c>
      <c r="F5" s="3">
        <v>60</v>
      </c>
      <c r="G5" s="1"/>
      <c r="H5" s="1"/>
      <c r="I5" s="4" t="s">
        <v>48</v>
      </c>
      <c r="J5" s="5">
        <v>3</v>
      </c>
      <c r="K5" s="5">
        <v>7</v>
      </c>
      <c r="L5" s="5">
        <v>30</v>
      </c>
      <c r="M5" s="5">
        <v>60</v>
      </c>
      <c r="N5" s="1"/>
      <c r="O5" s="1"/>
      <c r="P5" s="6" t="s">
        <v>48</v>
      </c>
      <c r="Q5" s="7">
        <v>3</v>
      </c>
      <c r="R5" s="7">
        <v>7</v>
      </c>
      <c r="S5" s="7">
        <v>30</v>
      </c>
      <c r="T5" s="7">
        <v>60</v>
      </c>
    </row>
    <row r="6" spans="1:20" ht="15.6">
      <c r="A6" s="1"/>
      <c r="B6" s="2" t="s">
        <v>49</v>
      </c>
      <c r="C6" s="3">
        <v>4</v>
      </c>
      <c r="D6" s="3">
        <v>6</v>
      </c>
      <c r="E6" s="3">
        <v>40</v>
      </c>
      <c r="F6" s="3">
        <v>40</v>
      </c>
      <c r="G6" s="1"/>
      <c r="H6" s="1"/>
      <c r="I6" s="4" t="s">
        <v>49</v>
      </c>
      <c r="J6" s="5">
        <v>4</v>
      </c>
      <c r="K6" s="5">
        <v>6</v>
      </c>
      <c r="L6" s="5">
        <v>40</v>
      </c>
      <c r="M6" s="5">
        <v>40</v>
      </c>
      <c r="N6" s="1"/>
      <c r="O6" s="1"/>
      <c r="P6" s="6" t="s">
        <v>49</v>
      </c>
      <c r="Q6" s="7">
        <v>4</v>
      </c>
      <c r="R6" s="7">
        <v>6</v>
      </c>
      <c r="S6" s="7">
        <v>40</v>
      </c>
      <c r="T6" s="7">
        <v>40</v>
      </c>
    </row>
    <row r="7" spans="1:20" ht="15.6">
      <c r="A7" s="1"/>
      <c r="B7" s="2" t="s">
        <v>50</v>
      </c>
      <c r="C7" s="3">
        <v>5</v>
      </c>
      <c r="D7" s="3">
        <v>5</v>
      </c>
      <c r="E7" s="3">
        <v>50</v>
      </c>
      <c r="F7" s="3">
        <v>20</v>
      </c>
      <c r="G7" s="1"/>
      <c r="H7" s="1"/>
      <c r="I7" s="4" t="s">
        <v>50</v>
      </c>
      <c r="J7" s="5">
        <v>5</v>
      </c>
      <c r="K7" s="5">
        <v>5</v>
      </c>
      <c r="L7" s="5">
        <v>50</v>
      </c>
      <c r="M7" s="5">
        <v>20</v>
      </c>
      <c r="N7" s="1"/>
      <c r="O7" s="1"/>
      <c r="P7" s="6" t="s">
        <v>50</v>
      </c>
      <c r="Q7" s="7">
        <v>5</v>
      </c>
      <c r="R7" s="7">
        <v>5</v>
      </c>
      <c r="S7" s="7">
        <v>50</v>
      </c>
      <c r="T7" s="7">
        <v>20</v>
      </c>
    </row>
    <row r="8" spans="1:20" ht="15.6">
      <c r="A8" s="1"/>
      <c r="B8" s="2" t="s">
        <v>51</v>
      </c>
      <c r="C8" s="3">
        <v>6</v>
      </c>
      <c r="D8" s="3">
        <v>4</v>
      </c>
      <c r="E8" s="3">
        <v>60</v>
      </c>
      <c r="F8" s="3">
        <v>0</v>
      </c>
      <c r="G8" s="1"/>
      <c r="H8" s="1"/>
      <c r="I8" s="4" t="s">
        <v>51</v>
      </c>
      <c r="J8" s="5">
        <v>6</v>
      </c>
      <c r="K8" s="5">
        <v>4</v>
      </c>
      <c r="L8" s="5">
        <v>60</v>
      </c>
      <c r="M8" s="5">
        <v>0</v>
      </c>
      <c r="N8" s="1"/>
      <c r="O8" s="1"/>
      <c r="P8" s="6" t="s">
        <v>51</v>
      </c>
      <c r="Q8" s="7">
        <v>6</v>
      </c>
      <c r="R8" s="7">
        <v>4</v>
      </c>
      <c r="S8" s="7">
        <v>60</v>
      </c>
      <c r="T8" s="7">
        <v>0</v>
      </c>
    </row>
    <row r="9" spans="1:20" ht="15.6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 ht="15.6">
      <c r="A10" s="1"/>
      <c r="B10" s="1"/>
      <c r="C10" s="36" t="s">
        <v>44</v>
      </c>
      <c r="D10" s="37" t="s">
        <v>45</v>
      </c>
      <c r="E10" s="37" t="s">
        <v>46</v>
      </c>
      <c r="F10" s="37" t="s">
        <v>47</v>
      </c>
      <c r="G10" s="1"/>
      <c r="H10" s="1"/>
      <c r="I10" s="1"/>
      <c r="J10" s="36" t="s">
        <v>44</v>
      </c>
      <c r="K10" s="37" t="s">
        <v>45</v>
      </c>
      <c r="L10" s="37" t="s">
        <v>46</v>
      </c>
      <c r="M10" s="37" t="s">
        <v>47</v>
      </c>
      <c r="N10" s="1"/>
      <c r="O10" s="1"/>
      <c r="P10" s="1"/>
      <c r="Q10" s="36" t="s">
        <v>44</v>
      </c>
      <c r="R10" s="37" t="s">
        <v>45</v>
      </c>
      <c r="S10" s="37" t="s">
        <v>46</v>
      </c>
      <c r="T10" s="37" t="s">
        <v>47</v>
      </c>
    </row>
    <row r="11" spans="1:20" ht="15.6">
      <c r="A11" s="1"/>
      <c r="B11" s="8" t="s">
        <v>48</v>
      </c>
      <c r="C11" s="9">
        <v>1</v>
      </c>
      <c r="D11" s="9">
        <v>9</v>
      </c>
      <c r="E11" s="9">
        <v>10</v>
      </c>
      <c r="F11" s="9">
        <v>100</v>
      </c>
      <c r="G11" s="1"/>
      <c r="H11" s="1"/>
      <c r="I11" s="10" t="s">
        <v>48</v>
      </c>
      <c r="J11" s="11">
        <v>1</v>
      </c>
      <c r="K11" s="11">
        <v>9</v>
      </c>
      <c r="L11" s="11">
        <v>10</v>
      </c>
      <c r="M11" s="11">
        <v>100</v>
      </c>
      <c r="N11" s="1"/>
      <c r="O11" s="1"/>
      <c r="P11" s="12" t="s">
        <v>48</v>
      </c>
      <c r="Q11" s="13">
        <v>1</v>
      </c>
      <c r="R11" s="13">
        <v>9</v>
      </c>
      <c r="S11" s="13">
        <v>10</v>
      </c>
      <c r="T11" s="13">
        <v>100</v>
      </c>
    </row>
    <row r="12" spans="1:20" ht="15.6">
      <c r="A12" s="1"/>
      <c r="B12" s="8" t="s">
        <v>49</v>
      </c>
      <c r="C12" s="9">
        <v>2</v>
      </c>
      <c r="D12" s="9">
        <v>8</v>
      </c>
      <c r="E12" s="9">
        <v>20</v>
      </c>
      <c r="F12" s="9">
        <v>80</v>
      </c>
      <c r="G12" s="1"/>
      <c r="H12" s="1"/>
      <c r="I12" s="10" t="s">
        <v>49</v>
      </c>
      <c r="J12" s="11">
        <v>2</v>
      </c>
      <c r="K12" s="11">
        <v>8</v>
      </c>
      <c r="L12" s="11">
        <v>20</v>
      </c>
      <c r="M12" s="11">
        <v>80</v>
      </c>
      <c r="N12" s="1"/>
      <c r="O12" s="1"/>
      <c r="P12" s="12" t="s">
        <v>49</v>
      </c>
      <c r="Q12" s="13">
        <v>2</v>
      </c>
      <c r="R12" s="13">
        <v>8</v>
      </c>
      <c r="S12" s="13">
        <v>20</v>
      </c>
      <c r="T12" s="13">
        <v>80</v>
      </c>
    </row>
    <row r="13" spans="1:20" ht="15.6">
      <c r="A13" s="1"/>
      <c r="B13" s="8" t="s">
        <v>50</v>
      </c>
      <c r="C13" s="9">
        <v>3</v>
      </c>
      <c r="D13" s="9">
        <v>7</v>
      </c>
      <c r="E13" s="9">
        <v>30</v>
      </c>
      <c r="F13" s="9">
        <v>60</v>
      </c>
      <c r="G13" s="1"/>
      <c r="H13" s="1"/>
      <c r="I13" s="10" t="s">
        <v>50</v>
      </c>
      <c r="J13" s="11">
        <v>3</v>
      </c>
      <c r="K13" s="11">
        <v>7</v>
      </c>
      <c r="L13" s="11">
        <v>30</v>
      </c>
      <c r="M13" s="11">
        <v>60</v>
      </c>
      <c r="N13" s="1"/>
      <c r="O13" s="1"/>
      <c r="P13" s="12" t="s">
        <v>50</v>
      </c>
      <c r="Q13" s="13">
        <v>3</v>
      </c>
      <c r="R13" s="13">
        <v>7</v>
      </c>
      <c r="S13" s="13">
        <v>30</v>
      </c>
      <c r="T13" s="13">
        <v>60</v>
      </c>
    </row>
    <row r="14" spans="1:20" ht="15.6">
      <c r="A14" s="1"/>
      <c r="B14" s="8" t="s">
        <v>51</v>
      </c>
      <c r="C14" s="9">
        <v>4</v>
      </c>
      <c r="D14" s="9">
        <v>6</v>
      </c>
      <c r="E14" s="9">
        <v>40</v>
      </c>
      <c r="F14" s="9">
        <v>40</v>
      </c>
      <c r="G14" s="1"/>
      <c r="H14" s="1"/>
      <c r="I14" s="10" t="s">
        <v>51</v>
      </c>
      <c r="J14" s="11">
        <v>4</v>
      </c>
      <c r="K14" s="11">
        <v>6</v>
      </c>
      <c r="L14" s="11">
        <v>40</v>
      </c>
      <c r="M14" s="11">
        <v>40</v>
      </c>
      <c r="N14" s="1"/>
      <c r="O14" s="1"/>
      <c r="P14" s="12" t="s">
        <v>51</v>
      </c>
      <c r="Q14" s="13">
        <v>4</v>
      </c>
      <c r="R14" s="13">
        <v>6</v>
      </c>
      <c r="S14" s="13">
        <v>40</v>
      </c>
      <c r="T14" s="13">
        <v>40</v>
      </c>
    </row>
    <row r="15" spans="1:20" ht="15.6">
      <c r="A15" s="1"/>
      <c r="B15" s="8" t="s">
        <v>52</v>
      </c>
      <c r="C15" s="9">
        <v>5</v>
      </c>
      <c r="D15" s="9">
        <v>5</v>
      </c>
      <c r="E15" s="9">
        <v>50</v>
      </c>
      <c r="F15" s="9">
        <v>20</v>
      </c>
      <c r="G15" s="1"/>
      <c r="H15" s="1"/>
      <c r="I15" s="10" t="s">
        <v>52</v>
      </c>
      <c r="J15" s="11">
        <v>5</v>
      </c>
      <c r="K15" s="11">
        <v>5</v>
      </c>
      <c r="L15" s="11">
        <v>50</v>
      </c>
      <c r="M15" s="11">
        <v>20</v>
      </c>
      <c r="N15" s="1"/>
      <c r="O15" s="1"/>
      <c r="P15" s="12" t="s">
        <v>52</v>
      </c>
      <c r="Q15" s="13">
        <v>5</v>
      </c>
      <c r="R15" s="13">
        <v>5</v>
      </c>
      <c r="S15" s="13">
        <v>50</v>
      </c>
      <c r="T15" s="13">
        <v>20</v>
      </c>
    </row>
    <row r="16" spans="1:20" ht="15.6">
      <c r="A16" s="1"/>
      <c r="B16" s="8" t="s">
        <v>53</v>
      </c>
      <c r="C16" s="9">
        <v>6</v>
      </c>
      <c r="D16" s="9">
        <v>4</v>
      </c>
      <c r="E16" s="9">
        <v>60</v>
      </c>
      <c r="F16" s="9">
        <v>0</v>
      </c>
      <c r="G16" s="1"/>
      <c r="H16" s="1"/>
      <c r="I16" s="10" t="s">
        <v>53</v>
      </c>
      <c r="J16" s="11">
        <v>6</v>
      </c>
      <c r="K16" s="11">
        <v>4</v>
      </c>
      <c r="L16" s="11">
        <v>60</v>
      </c>
      <c r="M16" s="11">
        <v>0</v>
      </c>
      <c r="N16" s="1"/>
      <c r="O16" s="1"/>
      <c r="P16" s="12" t="s">
        <v>53</v>
      </c>
      <c r="Q16" s="13">
        <v>6</v>
      </c>
      <c r="R16" s="13">
        <v>4</v>
      </c>
      <c r="S16" s="13">
        <v>60</v>
      </c>
      <c r="T16" s="13">
        <v>0</v>
      </c>
    </row>
    <row r="17" spans="1:20" ht="15.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ht="15.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 ht="15.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ht="15.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 ht="15.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ht="15.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</sheetData>
  <mergeCells count="2">
    <mergeCell ref="A1:S1"/>
    <mergeCell ref="B2:L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79CCF-350F-4D2C-9DDF-9E266EEB0615}">
  <sheetPr codeName="Hárok17">
    <tabColor theme="8"/>
  </sheetPr>
  <dimension ref="B2:R41"/>
  <sheetViews>
    <sheetView topLeftCell="A13" zoomScale="85" zoomScaleNormal="85" workbookViewId="0">
      <selection activeCell="L25" sqref="L25"/>
    </sheetView>
  </sheetViews>
  <sheetFormatPr defaultRowHeight="14.45"/>
  <cols>
    <col min="1" max="1" width="2.85546875" customWidth="1"/>
    <col min="2" max="2" width="5" customWidth="1"/>
    <col min="3" max="3" width="4.85546875" customWidth="1"/>
    <col min="4" max="4" width="2.140625" bestFit="1" customWidth="1"/>
    <col min="5" max="5" width="20.85546875" bestFit="1" customWidth="1"/>
    <col min="6" max="6" width="2.140625" bestFit="1" customWidth="1"/>
    <col min="7" max="7" width="14.140625" customWidth="1"/>
    <col min="8" max="8" width="2.140625" customWidth="1"/>
    <col min="9" max="9" width="40.42578125" bestFit="1" customWidth="1"/>
    <col min="10" max="10" width="2.85546875" customWidth="1"/>
    <col min="11" max="11" width="14.42578125" bestFit="1" customWidth="1"/>
    <col min="12" max="12" width="11.42578125" bestFit="1" customWidth="1"/>
    <col min="13" max="13" width="12.42578125" bestFit="1" customWidth="1"/>
    <col min="14" max="14" width="11.140625" bestFit="1" customWidth="1"/>
    <col min="15" max="15" width="11.85546875" bestFit="1" customWidth="1"/>
    <col min="16" max="16" width="8.42578125" bestFit="1" customWidth="1"/>
    <col min="17" max="17" width="2.5703125" customWidth="1"/>
    <col min="18" max="18" width="42.140625" bestFit="1" customWidth="1"/>
  </cols>
  <sheetData>
    <row r="2" spans="2:18" ht="15.6">
      <c r="B2" s="118" t="s">
        <v>54</v>
      </c>
      <c r="C2" s="119"/>
      <c r="D2" s="119"/>
      <c r="E2" s="119"/>
      <c r="F2" s="119"/>
      <c r="G2" s="120"/>
      <c r="H2" s="1"/>
      <c r="I2" s="14" t="s">
        <v>55</v>
      </c>
      <c r="J2" s="1"/>
      <c r="K2" s="118" t="s">
        <v>56</v>
      </c>
      <c r="L2" s="119"/>
      <c r="M2" s="119"/>
      <c r="N2" s="119"/>
      <c r="O2" s="119"/>
      <c r="P2" s="120"/>
      <c r="Q2" s="1"/>
      <c r="R2" s="14" t="s">
        <v>57</v>
      </c>
    </row>
    <row r="3" spans="2:18" ht="15.6">
      <c r="B3" s="121"/>
      <c r="C3" s="122"/>
      <c r="D3" s="122"/>
      <c r="E3" s="122"/>
      <c r="F3" s="122"/>
      <c r="G3" s="123"/>
      <c r="H3" s="1"/>
      <c r="I3" s="14" t="s">
        <v>58</v>
      </c>
      <c r="J3" s="1"/>
      <c r="K3" s="121"/>
      <c r="L3" s="122"/>
      <c r="M3" s="122"/>
      <c r="N3" s="122"/>
      <c r="O3" s="122"/>
      <c r="P3" s="123"/>
      <c r="Q3" s="1"/>
      <c r="R3" s="14" t="s">
        <v>58</v>
      </c>
    </row>
    <row r="4" spans="2:18" ht="15.6">
      <c r="B4" s="1"/>
      <c r="C4" s="15"/>
      <c r="D4" s="1"/>
      <c r="E4" s="1"/>
      <c r="F4" s="1"/>
      <c r="G4" s="1"/>
      <c r="H4" s="1"/>
      <c r="I4" s="16" t="s">
        <v>59</v>
      </c>
      <c r="J4" s="1"/>
      <c r="K4" s="1"/>
      <c r="L4" s="1"/>
      <c r="M4" s="1"/>
      <c r="N4" s="1"/>
      <c r="O4" s="1"/>
      <c r="P4" s="1"/>
      <c r="Q4" s="1"/>
      <c r="R4" s="16" t="s">
        <v>59</v>
      </c>
    </row>
    <row r="5" spans="2:18" ht="15" customHeight="1">
      <c r="B5" s="124">
        <v>9</v>
      </c>
      <c r="C5" s="124"/>
      <c r="D5" s="125" t="s">
        <v>45</v>
      </c>
      <c r="E5" s="127">
        <v>8</v>
      </c>
      <c r="F5" s="128" t="s">
        <v>60</v>
      </c>
      <c r="G5" s="129">
        <f>B5*E5</f>
        <v>72</v>
      </c>
      <c r="H5" s="1"/>
      <c r="I5" s="16" t="s">
        <v>61</v>
      </c>
      <c r="J5" s="1"/>
      <c r="K5" s="17" t="s">
        <v>62</v>
      </c>
      <c r="L5" s="18" t="s">
        <v>3</v>
      </c>
      <c r="M5" s="18" t="s">
        <v>63</v>
      </c>
      <c r="N5" s="19" t="s">
        <v>64</v>
      </c>
      <c r="O5" s="20" t="s">
        <v>65</v>
      </c>
      <c r="P5" s="21" t="s">
        <v>66</v>
      </c>
      <c r="Q5" s="1"/>
      <c r="R5" s="16" t="s">
        <v>61</v>
      </c>
    </row>
    <row r="6" spans="2:18" ht="15.75" customHeight="1">
      <c r="B6" s="124"/>
      <c r="C6" s="124"/>
      <c r="D6" s="126"/>
      <c r="E6" s="127"/>
      <c r="F6" s="126"/>
      <c r="G6" s="129"/>
      <c r="H6" s="1"/>
      <c r="I6" s="14" t="s">
        <v>67</v>
      </c>
      <c r="J6" s="1"/>
      <c r="K6" s="22" t="s">
        <v>68</v>
      </c>
      <c r="L6" s="1" t="s">
        <v>29</v>
      </c>
      <c r="M6" s="23">
        <v>70</v>
      </c>
      <c r="N6" s="23">
        <v>88</v>
      </c>
      <c r="O6" s="24"/>
      <c r="P6" s="25">
        <f>AVERAGE(M6:O6)</f>
        <v>79</v>
      </c>
      <c r="Q6" s="1"/>
      <c r="R6" s="14" t="s">
        <v>67</v>
      </c>
    </row>
    <row r="7" spans="2:18" ht="15.6">
      <c r="B7" s="1"/>
      <c r="C7" s="1"/>
      <c r="D7" s="1"/>
      <c r="E7" s="1"/>
      <c r="F7" s="1"/>
      <c r="G7" s="1"/>
      <c r="H7" s="1"/>
      <c r="I7" s="1" t="s">
        <v>69</v>
      </c>
      <c r="J7" s="1"/>
      <c r="K7" s="26" t="s">
        <v>70</v>
      </c>
      <c r="L7" s="27" t="s">
        <v>71</v>
      </c>
      <c r="M7" s="28">
        <v>84</v>
      </c>
      <c r="N7" s="28">
        <v>69</v>
      </c>
      <c r="O7" s="29">
        <v>86.999999999999986</v>
      </c>
      <c r="P7" s="30">
        <f>AVERAGE(M7:O7)</f>
        <v>80</v>
      </c>
      <c r="Q7" s="1"/>
      <c r="R7" s="1" t="s">
        <v>72</v>
      </c>
    </row>
    <row r="8" spans="2:18" ht="15" customHeight="1">
      <c r="B8" s="124">
        <v>9</v>
      </c>
      <c r="C8" s="124"/>
      <c r="D8" s="125" t="s">
        <v>45</v>
      </c>
      <c r="E8" s="124"/>
      <c r="F8" s="128" t="s">
        <v>60</v>
      </c>
      <c r="G8" s="130">
        <f>B8*E8</f>
        <v>0</v>
      </c>
      <c r="H8" s="1"/>
      <c r="I8" s="1" t="s">
        <v>73</v>
      </c>
      <c r="J8" s="1"/>
      <c r="K8" s="1"/>
      <c r="L8" s="1"/>
      <c r="M8" s="1"/>
      <c r="N8" s="1"/>
      <c r="O8" s="1"/>
      <c r="P8" s="1"/>
      <c r="Q8" s="1"/>
      <c r="R8" s="1" t="s">
        <v>74</v>
      </c>
    </row>
    <row r="9" spans="2:18" ht="15" customHeight="1">
      <c r="B9" s="124"/>
      <c r="C9" s="124"/>
      <c r="D9" s="126"/>
      <c r="E9" s="124"/>
      <c r="F9" s="126"/>
      <c r="G9" s="130"/>
      <c r="H9" s="1"/>
      <c r="I9" s="1" t="s">
        <v>75</v>
      </c>
      <c r="J9" s="1"/>
      <c r="K9" s="1"/>
      <c r="L9" s="1"/>
      <c r="M9" s="1"/>
      <c r="N9" s="1"/>
      <c r="O9" s="1"/>
      <c r="P9" s="1"/>
      <c r="Q9" s="1"/>
      <c r="R9" s="1" t="s">
        <v>76</v>
      </c>
    </row>
    <row r="10" spans="2:18" ht="15.6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2:18" ht="15.6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2:18" ht="15" customHeight="1">
      <c r="B12" s="118" t="s">
        <v>77</v>
      </c>
      <c r="C12" s="119"/>
      <c r="D12" s="119"/>
      <c r="E12" s="119"/>
      <c r="F12" s="119"/>
      <c r="G12" s="120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2:18" ht="15" customHeight="1">
      <c r="B13" s="121"/>
      <c r="C13" s="122"/>
      <c r="D13" s="122"/>
      <c r="E13" s="122"/>
      <c r="F13" s="122"/>
      <c r="G13" s="123"/>
      <c r="H13" s="1"/>
      <c r="I13" s="1"/>
      <c r="J13" s="1"/>
      <c r="K13" s="31" t="s">
        <v>62</v>
      </c>
      <c r="L13" s="19" t="s">
        <v>3</v>
      </c>
      <c r="M13" s="19" t="s">
        <v>63</v>
      </c>
      <c r="N13" s="19" t="s">
        <v>64</v>
      </c>
      <c r="O13" s="32" t="s">
        <v>65</v>
      </c>
      <c r="P13" s="33" t="s">
        <v>66</v>
      </c>
      <c r="Q13" s="1"/>
      <c r="R13" s="1"/>
    </row>
    <row r="14" spans="2:18" ht="15.6">
      <c r="B14" s="1"/>
      <c r="C14" s="1"/>
      <c r="D14" s="1"/>
      <c r="E14" s="1"/>
      <c r="F14" s="1"/>
      <c r="G14" s="1"/>
      <c r="H14" s="1"/>
      <c r="I14" s="1"/>
      <c r="J14" s="1"/>
      <c r="K14" s="22" t="s">
        <v>68</v>
      </c>
      <c r="L14" s="1" t="s">
        <v>29</v>
      </c>
      <c r="M14" s="23">
        <v>70</v>
      </c>
      <c r="N14" s="23">
        <v>88</v>
      </c>
      <c r="O14" s="24"/>
      <c r="P14" s="25">
        <f>AVERAGE(M14:O14)</f>
        <v>79</v>
      </c>
      <c r="Q14" s="1"/>
      <c r="R14" s="1"/>
    </row>
    <row r="15" spans="2:18" ht="15.6">
      <c r="B15" s="1"/>
      <c r="C15" s="1"/>
      <c r="D15" s="1"/>
      <c r="E15" s="116" t="s">
        <v>78</v>
      </c>
      <c r="F15" s="1"/>
      <c r="G15" s="1"/>
      <c r="H15" s="1"/>
      <c r="I15" s="1"/>
      <c r="J15" s="1"/>
      <c r="K15" s="26" t="s">
        <v>70</v>
      </c>
      <c r="L15" s="27" t="s">
        <v>71</v>
      </c>
      <c r="M15" s="28">
        <v>84</v>
      </c>
      <c r="N15" s="28">
        <v>69</v>
      </c>
      <c r="O15" s="29">
        <v>83.999999999999986</v>
      </c>
      <c r="P15" s="30">
        <f>AVERAGE(M15:O15)</f>
        <v>79</v>
      </c>
      <c r="Q15" s="1"/>
      <c r="R15" s="1"/>
    </row>
    <row r="16" spans="2:18" ht="15.6">
      <c r="B16" s="1"/>
      <c r="C16" s="1"/>
      <c r="D16" s="1"/>
      <c r="E16" s="117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2:18" ht="15.6">
      <c r="B17" s="1"/>
      <c r="C17" s="1"/>
      <c r="D17" s="1"/>
      <c r="E17" s="1"/>
      <c r="F17" s="1"/>
      <c r="G17" s="1"/>
      <c r="H17" s="1"/>
      <c r="I17" s="1"/>
      <c r="J17" s="1"/>
      <c r="K17" s="118" t="s">
        <v>79</v>
      </c>
      <c r="L17" s="119"/>
      <c r="M17" s="119"/>
      <c r="N17" s="119"/>
      <c r="O17" s="119"/>
      <c r="P17" s="120"/>
      <c r="Q17" s="1"/>
      <c r="R17" s="1"/>
    </row>
    <row r="18" spans="2:18" ht="15.6">
      <c r="B18" s="100" t="s">
        <v>80</v>
      </c>
      <c r="C18" s="101"/>
      <c r="D18" s="100" t="s">
        <v>81</v>
      </c>
      <c r="E18" s="102"/>
      <c r="F18" s="103" t="s">
        <v>82</v>
      </c>
      <c r="G18" s="102"/>
      <c r="H18" s="1"/>
      <c r="I18" s="1"/>
      <c r="J18" s="1"/>
      <c r="K18" s="121"/>
      <c r="L18" s="122"/>
      <c r="M18" s="122"/>
      <c r="N18" s="122"/>
      <c r="O18" s="122"/>
      <c r="P18" s="123"/>
      <c r="Q18" s="1"/>
      <c r="R18" s="1"/>
    </row>
    <row r="19" spans="2:18" ht="15.6">
      <c r="B19" s="104">
        <v>0.01</v>
      </c>
      <c r="C19" s="105"/>
      <c r="D19" s="108">
        <v>1</v>
      </c>
      <c r="E19" s="109"/>
      <c r="F19" s="112">
        <v>1</v>
      </c>
      <c r="G19" s="113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2:18" ht="18.600000000000001">
      <c r="B20" s="106"/>
      <c r="C20" s="107"/>
      <c r="D20" s="110"/>
      <c r="E20" s="111"/>
      <c r="F20" s="114"/>
      <c r="G20" s="115"/>
      <c r="H20" s="1"/>
      <c r="I20" s="1"/>
      <c r="J20" s="1"/>
      <c r="K20" s="34" t="s">
        <v>24</v>
      </c>
      <c r="L20" s="34" t="s">
        <v>83</v>
      </c>
      <c r="M20" s="34" t="s">
        <v>84</v>
      </c>
      <c r="N20" s="34" t="s">
        <v>85</v>
      </c>
      <c r="O20" s="1"/>
      <c r="P20" s="1"/>
      <c r="Q20" s="1"/>
      <c r="R20" s="1"/>
    </row>
    <row r="21" spans="2:18" ht="15.6">
      <c r="B21" s="1"/>
      <c r="C21" s="1"/>
      <c r="D21" s="1"/>
      <c r="E21" s="1"/>
      <c r="F21" s="1"/>
      <c r="G21" s="1"/>
      <c r="H21" s="1"/>
      <c r="I21" s="1"/>
      <c r="J21" s="1"/>
      <c r="K21" s="1" t="s">
        <v>86</v>
      </c>
      <c r="L21" s="1">
        <v>2</v>
      </c>
      <c r="M21" s="1">
        <v>1899.99</v>
      </c>
      <c r="N21" s="1">
        <f>L21*M21</f>
        <v>3799.98</v>
      </c>
      <c r="O21" s="1"/>
      <c r="P21" s="1"/>
      <c r="Q21" s="1"/>
      <c r="R21" s="1"/>
    </row>
    <row r="22" spans="2:18" ht="15.6">
      <c r="B22" s="91" t="s">
        <v>87</v>
      </c>
      <c r="C22" s="92"/>
      <c r="D22" s="92"/>
      <c r="E22" s="92"/>
      <c r="F22" s="92"/>
      <c r="G22" s="93"/>
      <c r="H22" s="1"/>
      <c r="I22" s="1"/>
      <c r="J22" s="1"/>
      <c r="K22" s="1" t="s">
        <v>88</v>
      </c>
      <c r="L22" s="1">
        <v>5</v>
      </c>
      <c r="M22" s="1">
        <v>25.99</v>
      </c>
      <c r="N22" s="1">
        <f t="shared" ref="N22:N23" si="0">L22*M22</f>
        <v>129.94999999999999</v>
      </c>
      <c r="O22" s="1"/>
      <c r="P22" s="1"/>
      <c r="Q22" s="1"/>
      <c r="R22" s="1"/>
    </row>
    <row r="23" spans="2:18" ht="15.6">
      <c r="B23" s="94">
        <f>PMT(B19,D19,F19)</f>
        <v>-1.0099999999999998</v>
      </c>
      <c r="C23" s="95"/>
      <c r="D23" s="95"/>
      <c r="E23" s="95"/>
      <c r="F23" s="95"/>
      <c r="G23" s="96"/>
      <c r="H23" s="1"/>
      <c r="I23" s="1"/>
      <c r="J23" s="1"/>
      <c r="K23" s="1" t="s">
        <v>89</v>
      </c>
      <c r="L23" s="1">
        <v>2</v>
      </c>
      <c r="M23" s="1">
        <v>459.99</v>
      </c>
      <c r="N23" s="1">
        <f t="shared" si="0"/>
        <v>919.98</v>
      </c>
      <c r="O23" s="1"/>
      <c r="P23" s="1"/>
      <c r="Q23" s="1"/>
      <c r="R23" s="1"/>
    </row>
    <row r="24" spans="2:18" ht="15.6">
      <c r="B24" s="97"/>
      <c r="C24" s="98"/>
      <c r="D24" s="98"/>
      <c r="E24" s="98"/>
      <c r="F24" s="98"/>
      <c r="G24" s="99"/>
      <c r="H24" s="1"/>
      <c r="I24" s="1"/>
      <c r="J24" s="1"/>
      <c r="K24" s="1"/>
      <c r="L24" s="1"/>
      <c r="M24" s="1"/>
      <c r="N24" s="35">
        <f>SUM(N21:N23)</f>
        <v>4849.91</v>
      </c>
      <c r="O24" s="1"/>
      <c r="P24" s="1"/>
      <c r="Q24" s="1"/>
      <c r="R24" s="1"/>
    </row>
    <row r="25" spans="2:18" ht="15.6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2:18" ht="15.6">
      <c r="B26" s="100" t="s">
        <v>80</v>
      </c>
      <c r="C26" s="101"/>
      <c r="D26" s="100" t="s">
        <v>81</v>
      </c>
      <c r="E26" s="102"/>
      <c r="F26" s="103" t="s">
        <v>82</v>
      </c>
      <c r="G26" s="102"/>
      <c r="H26" s="1"/>
      <c r="I26" s="1" t="s">
        <v>90</v>
      </c>
      <c r="J26" s="1"/>
      <c r="K26" s="1"/>
      <c r="L26" s="1"/>
      <c r="M26" s="1"/>
      <c r="N26" s="1"/>
      <c r="O26" s="1"/>
      <c r="P26" s="1"/>
      <c r="Q26" s="1"/>
      <c r="R26" s="1"/>
    </row>
    <row r="27" spans="2:18" ht="15.6">
      <c r="B27" s="104">
        <v>0.02</v>
      </c>
      <c r="C27" s="105"/>
      <c r="D27" s="108">
        <v>1</v>
      </c>
      <c r="E27" s="109"/>
      <c r="F27" s="112">
        <v>47000</v>
      </c>
      <c r="G27" s="113"/>
      <c r="H27" s="1"/>
      <c r="I27" s="1" t="s">
        <v>91</v>
      </c>
      <c r="J27" s="1"/>
      <c r="K27" s="1"/>
      <c r="L27" s="1"/>
      <c r="M27" s="1"/>
      <c r="N27" s="1"/>
      <c r="O27" s="1"/>
      <c r="P27" s="1"/>
      <c r="Q27" s="1"/>
      <c r="R27" s="1"/>
    </row>
    <row r="28" spans="2:18" ht="15.6">
      <c r="B28" s="106"/>
      <c r="C28" s="107"/>
      <c r="D28" s="110"/>
      <c r="E28" s="111"/>
      <c r="F28" s="114"/>
      <c r="G28" s="115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2:18" ht="15.6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2:18" ht="18.600000000000001">
      <c r="B30" s="91" t="s">
        <v>87</v>
      </c>
      <c r="C30" s="92"/>
      <c r="D30" s="92"/>
      <c r="E30" s="92"/>
      <c r="F30" s="92"/>
      <c r="G30" s="93"/>
      <c r="H30" s="1"/>
      <c r="I30" s="1"/>
      <c r="J30" s="1"/>
      <c r="K30" s="34" t="s">
        <v>24</v>
      </c>
      <c r="L30" s="34" t="s">
        <v>83</v>
      </c>
      <c r="M30" s="34" t="s">
        <v>84</v>
      </c>
      <c r="N30" s="34" t="s">
        <v>85</v>
      </c>
      <c r="O30" s="1"/>
      <c r="P30" s="1"/>
      <c r="Q30" s="1"/>
      <c r="R30" s="1"/>
    </row>
    <row r="31" spans="2:18" ht="15.6">
      <c r="B31" s="94">
        <f>PMT(B27,D27,F27)</f>
        <v>-47940</v>
      </c>
      <c r="C31" s="95"/>
      <c r="D31" s="95"/>
      <c r="E31" s="95"/>
      <c r="F31" s="95"/>
      <c r="G31" s="96"/>
      <c r="H31" s="1"/>
      <c r="I31" s="1"/>
      <c r="J31" s="1"/>
      <c r="K31" s="1" t="s">
        <v>86</v>
      </c>
      <c r="L31" s="1">
        <v>2</v>
      </c>
      <c r="M31" s="1">
        <v>1899.99</v>
      </c>
      <c r="N31" s="1">
        <f>L31*M31</f>
        <v>3799.98</v>
      </c>
      <c r="O31" s="1"/>
      <c r="P31" s="1"/>
      <c r="Q31" s="1"/>
      <c r="R31" s="1"/>
    </row>
    <row r="32" spans="2:18" ht="15.6">
      <c r="B32" s="97"/>
      <c r="C32" s="98"/>
      <c r="D32" s="98"/>
      <c r="E32" s="98"/>
      <c r="F32" s="98"/>
      <c r="G32" s="99"/>
      <c r="H32" s="1"/>
      <c r="I32" s="1"/>
      <c r="J32" s="1"/>
      <c r="K32" s="1" t="s">
        <v>88</v>
      </c>
      <c r="L32" s="1">
        <v>5</v>
      </c>
      <c r="M32" s="1">
        <v>25.99</v>
      </c>
      <c r="N32" s="1">
        <f t="shared" ref="N32:N33" si="1">L32*M32</f>
        <v>129.94999999999999</v>
      </c>
      <c r="O32" s="1"/>
      <c r="P32" s="1"/>
      <c r="Q32" s="1"/>
      <c r="R32" s="1"/>
    </row>
    <row r="33" spans="2:18" ht="15.6">
      <c r="B33" s="1"/>
      <c r="C33" s="1"/>
      <c r="D33" s="1"/>
      <c r="E33" s="1"/>
      <c r="F33" s="1"/>
      <c r="G33" s="1"/>
      <c r="H33" s="1"/>
      <c r="I33" s="1"/>
      <c r="J33" s="1"/>
      <c r="K33" s="1" t="s">
        <v>89</v>
      </c>
      <c r="L33" s="1">
        <v>3.1959607817561224</v>
      </c>
      <c r="M33" s="1">
        <v>459.99</v>
      </c>
      <c r="N33" s="1">
        <f t="shared" si="1"/>
        <v>1470.1099999999988</v>
      </c>
      <c r="O33" s="1"/>
      <c r="P33" s="1"/>
      <c r="Q33" s="1"/>
      <c r="R33" s="1"/>
    </row>
    <row r="34" spans="2:18" ht="15.6">
      <c r="B34" s="100" t="s">
        <v>80</v>
      </c>
      <c r="C34" s="101"/>
      <c r="D34" s="100" t="s">
        <v>81</v>
      </c>
      <c r="E34" s="102"/>
      <c r="F34" s="103" t="s">
        <v>82</v>
      </c>
      <c r="G34" s="102"/>
      <c r="H34" s="1"/>
      <c r="I34" s="14" t="s">
        <v>92</v>
      </c>
      <c r="J34" s="1"/>
      <c r="K34" s="1"/>
      <c r="L34" s="1"/>
      <c r="M34" s="1"/>
      <c r="N34" s="35">
        <f>SUM(N31:N33)</f>
        <v>5400.0399999999991</v>
      </c>
      <c r="O34" s="1" t="s">
        <v>93</v>
      </c>
      <c r="P34" s="1"/>
      <c r="Q34" s="1"/>
      <c r="R34" s="1"/>
    </row>
    <row r="35" spans="2:18" ht="15.6">
      <c r="B35" s="104">
        <v>0.02</v>
      </c>
      <c r="C35" s="105"/>
      <c r="D35" s="108">
        <v>12.000917440940324</v>
      </c>
      <c r="E35" s="109"/>
      <c r="F35" s="112">
        <v>47000</v>
      </c>
      <c r="G35" s="113"/>
      <c r="H35" s="1"/>
      <c r="I35" s="14" t="s">
        <v>58</v>
      </c>
      <c r="J35" s="1"/>
      <c r="K35" s="1"/>
      <c r="L35" s="1"/>
      <c r="M35" s="1"/>
      <c r="N35" s="1"/>
      <c r="O35" s="1"/>
      <c r="P35" s="1"/>
      <c r="Q35" s="1"/>
      <c r="R35" s="1"/>
    </row>
    <row r="36" spans="2:18" ht="18.600000000000001">
      <c r="B36" s="106"/>
      <c r="C36" s="107"/>
      <c r="D36" s="110"/>
      <c r="E36" s="111"/>
      <c r="F36" s="114"/>
      <c r="G36" s="115"/>
      <c r="H36" s="1"/>
      <c r="I36" s="16" t="s">
        <v>59</v>
      </c>
      <c r="J36" s="1"/>
      <c r="K36" s="90" t="s">
        <v>94</v>
      </c>
      <c r="L36" s="90"/>
      <c r="M36" s="90"/>
      <c r="N36" s="90"/>
      <c r="O36" s="1"/>
      <c r="P36" s="1"/>
      <c r="Q36" s="1"/>
      <c r="R36" s="1"/>
    </row>
    <row r="37" spans="2:18" ht="15.6">
      <c r="B37" s="1"/>
      <c r="C37" s="1"/>
      <c r="D37" s="1"/>
      <c r="E37" s="1"/>
      <c r="F37" s="1"/>
      <c r="G37" s="1"/>
      <c r="H37" s="1"/>
      <c r="I37" s="16" t="s">
        <v>61</v>
      </c>
      <c r="J37" s="1"/>
      <c r="K37" s="1"/>
      <c r="L37" s="1"/>
      <c r="M37" s="1"/>
      <c r="N37" s="1"/>
      <c r="O37" s="1"/>
      <c r="P37" s="1"/>
      <c r="Q37" s="1"/>
      <c r="R37" s="1"/>
    </row>
    <row r="38" spans="2:18" ht="15.6">
      <c r="B38" s="91" t="s">
        <v>87</v>
      </c>
      <c r="C38" s="92"/>
      <c r="D38" s="92"/>
      <c r="E38" s="92"/>
      <c r="F38" s="92"/>
      <c r="G38" s="93"/>
      <c r="H38" s="1"/>
      <c r="I38" s="14" t="s">
        <v>67</v>
      </c>
      <c r="J38" s="1"/>
      <c r="K38" s="1"/>
      <c r="L38" s="1"/>
      <c r="M38" s="1"/>
      <c r="N38" s="1"/>
      <c r="O38" s="1"/>
      <c r="P38" s="1"/>
      <c r="Q38" s="1"/>
      <c r="R38" s="1"/>
    </row>
    <row r="39" spans="2:18" ht="15.6">
      <c r="B39" s="94">
        <f>PMT(B35,D35,F35)</f>
        <v>-4444.0000564572065</v>
      </c>
      <c r="C39" s="95"/>
      <c r="D39" s="95"/>
      <c r="E39" s="95"/>
      <c r="F39" s="95"/>
      <c r="G39" s="96"/>
      <c r="H39" s="1"/>
      <c r="I39" s="1" t="s">
        <v>95</v>
      </c>
      <c r="J39" s="1"/>
      <c r="K39" s="1"/>
      <c r="L39" s="1"/>
      <c r="M39" s="1"/>
      <c r="N39" s="1"/>
      <c r="O39" s="1"/>
      <c r="P39" s="1"/>
      <c r="Q39" s="1"/>
      <c r="R39" s="1"/>
    </row>
    <row r="40" spans="2:18" ht="15.6">
      <c r="B40" s="97"/>
      <c r="C40" s="98"/>
      <c r="D40" s="98"/>
      <c r="E40" s="98"/>
      <c r="F40" s="98"/>
      <c r="G40" s="99"/>
      <c r="H40" s="1"/>
      <c r="I40" s="1" t="s">
        <v>96</v>
      </c>
      <c r="J40" s="1"/>
      <c r="K40" s="1"/>
      <c r="L40" s="1"/>
      <c r="M40" s="1"/>
      <c r="N40" s="1"/>
      <c r="O40" s="1"/>
      <c r="P40" s="1"/>
      <c r="Q40" s="1"/>
      <c r="R40" s="1"/>
    </row>
    <row r="41" spans="2:18" ht="15.6">
      <c r="B41" s="1"/>
      <c r="C41" s="1"/>
      <c r="D41" s="1"/>
      <c r="E41" s="1"/>
      <c r="F41" s="1"/>
      <c r="G41" s="1"/>
      <c r="H41" s="1"/>
      <c r="I41" s="1" t="s">
        <v>97</v>
      </c>
      <c r="J41" s="1"/>
      <c r="K41" s="1"/>
      <c r="L41" s="1"/>
      <c r="M41" s="1"/>
      <c r="N41" s="1"/>
      <c r="O41" s="1"/>
      <c r="P41" s="1"/>
      <c r="Q41" s="1"/>
      <c r="R41" s="1"/>
    </row>
  </sheetData>
  <mergeCells count="40">
    <mergeCell ref="B12:G13"/>
    <mergeCell ref="B2:G3"/>
    <mergeCell ref="K2:P3"/>
    <mergeCell ref="B5:C6"/>
    <mergeCell ref="D5:D6"/>
    <mergeCell ref="E5:E6"/>
    <mergeCell ref="F5:F6"/>
    <mergeCell ref="G5:G6"/>
    <mergeCell ref="B8:C9"/>
    <mergeCell ref="D8:D9"/>
    <mergeCell ref="E8:E9"/>
    <mergeCell ref="F8:F9"/>
    <mergeCell ref="G8:G9"/>
    <mergeCell ref="B27:C28"/>
    <mergeCell ref="D27:E28"/>
    <mergeCell ref="F27:G28"/>
    <mergeCell ref="E15:E16"/>
    <mergeCell ref="K17:P18"/>
    <mergeCell ref="B18:C18"/>
    <mergeCell ref="D18:E18"/>
    <mergeCell ref="F18:G18"/>
    <mergeCell ref="B19:C20"/>
    <mergeCell ref="D19:E20"/>
    <mergeCell ref="F19:G20"/>
    <mergeCell ref="B22:G22"/>
    <mergeCell ref="B23:G24"/>
    <mergeCell ref="B26:C26"/>
    <mergeCell ref="D26:E26"/>
    <mergeCell ref="F26:G26"/>
    <mergeCell ref="K36:N36"/>
    <mergeCell ref="B38:G38"/>
    <mergeCell ref="B39:G40"/>
    <mergeCell ref="B30:G30"/>
    <mergeCell ref="B31:G32"/>
    <mergeCell ref="B34:C34"/>
    <mergeCell ref="D34:E34"/>
    <mergeCell ref="F34:G34"/>
    <mergeCell ref="B35:C36"/>
    <mergeCell ref="D35:E36"/>
    <mergeCell ref="F35:G36"/>
  </mergeCell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7056F-E180-4051-BD4D-C3955AC471FD}">
  <sheetPr codeName="Hárok3">
    <tabColor rgb="FF92D050"/>
  </sheetPr>
  <dimension ref="B1:N21"/>
  <sheetViews>
    <sheetView workbookViewId="0">
      <selection activeCell="D16" sqref="D16"/>
    </sheetView>
  </sheetViews>
  <sheetFormatPr defaultRowHeight="14.45"/>
  <cols>
    <col min="2" max="2" width="16.140625" bestFit="1" customWidth="1"/>
    <col min="3" max="3" width="23.42578125" bestFit="1" customWidth="1"/>
    <col min="4" max="4" width="17" bestFit="1" customWidth="1"/>
    <col min="5" max="5" width="15" bestFit="1" customWidth="1"/>
    <col min="6" max="6" width="13" customWidth="1"/>
    <col min="7" max="7" width="12" customWidth="1"/>
    <col min="8" max="8" width="10.42578125" bestFit="1" customWidth="1"/>
    <col min="9" max="9" width="14.140625" customWidth="1"/>
    <col min="10" max="10" width="12.140625" customWidth="1"/>
    <col min="11" max="11" width="11" customWidth="1"/>
    <col min="12" max="14" width="8" bestFit="1" customWidth="1"/>
  </cols>
  <sheetData>
    <row r="1" spans="2:14" ht="15" thickBot="1"/>
    <row r="2" spans="2:14" ht="37.5" thickBot="1">
      <c r="B2" s="53" t="s">
        <v>98</v>
      </c>
      <c r="C2" s="54" t="s">
        <v>99</v>
      </c>
      <c r="D2" s="54" t="s">
        <v>100</v>
      </c>
      <c r="E2" s="54" t="s">
        <v>101</v>
      </c>
      <c r="F2" s="55" t="s">
        <v>102</v>
      </c>
      <c r="G2" s="55" t="s">
        <v>103</v>
      </c>
      <c r="H2" s="53" t="s">
        <v>104</v>
      </c>
      <c r="I2" s="55" t="s">
        <v>105</v>
      </c>
      <c r="J2" s="55" t="s">
        <v>106</v>
      </c>
      <c r="K2" s="55" t="s">
        <v>107</v>
      </c>
      <c r="L2" s="53" t="s">
        <v>108</v>
      </c>
      <c r="M2" s="53" t="s">
        <v>109</v>
      </c>
      <c r="N2" s="56" t="s">
        <v>110</v>
      </c>
    </row>
    <row r="3" spans="2:14">
      <c r="B3" s="57" t="s">
        <v>111</v>
      </c>
      <c r="C3" s="58" t="s">
        <v>112</v>
      </c>
      <c r="D3" s="58" t="s">
        <v>113</v>
      </c>
      <c r="E3" s="59">
        <v>2008</v>
      </c>
      <c r="F3" s="59">
        <v>12</v>
      </c>
      <c r="G3" s="59">
        <v>590</v>
      </c>
      <c r="H3" s="58">
        <f t="shared" ref="H3:H16" si="0">G3*F3</f>
        <v>7080</v>
      </c>
      <c r="I3" s="58">
        <f t="shared" ref="I3:K16" si="1">$G3+($G3*I$20)</f>
        <v>649</v>
      </c>
      <c r="J3" s="58">
        <f t="shared" si="1"/>
        <v>708</v>
      </c>
      <c r="K3" s="58">
        <f t="shared" si="1"/>
        <v>767</v>
      </c>
      <c r="L3" s="58">
        <f t="shared" ref="L3:N16" si="2">I3*$F3</f>
        <v>7788</v>
      </c>
      <c r="M3" s="58">
        <f t="shared" si="2"/>
        <v>8496</v>
      </c>
      <c r="N3" s="60">
        <f t="shared" si="2"/>
        <v>9204</v>
      </c>
    </row>
    <row r="4" spans="2:14">
      <c r="B4" s="61" t="s">
        <v>114</v>
      </c>
      <c r="C4" s="59" t="s">
        <v>115</v>
      </c>
      <c r="D4" s="59" t="s">
        <v>116</v>
      </c>
      <c r="E4" s="59">
        <v>2006</v>
      </c>
      <c r="F4" s="59">
        <v>4</v>
      </c>
      <c r="G4" s="59">
        <v>499</v>
      </c>
      <c r="H4" s="59">
        <f t="shared" si="0"/>
        <v>1996</v>
      </c>
      <c r="I4" s="59">
        <f t="shared" si="1"/>
        <v>548.9</v>
      </c>
      <c r="J4" s="59">
        <f t="shared" si="1"/>
        <v>598.79999999999995</v>
      </c>
      <c r="K4" s="59">
        <f t="shared" si="1"/>
        <v>648.70000000000005</v>
      </c>
      <c r="L4" s="59">
        <f t="shared" si="2"/>
        <v>2195.6</v>
      </c>
      <c r="M4" s="59">
        <f t="shared" si="2"/>
        <v>2395.1999999999998</v>
      </c>
      <c r="N4" s="62">
        <f t="shared" si="2"/>
        <v>2594.8000000000002</v>
      </c>
    </row>
    <row r="5" spans="2:14">
      <c r="B5" s="61" t="s">
        <v>117</v>
      </c>
      <c r="C5" s="59" t="s">
        <v>118</v>
      </c>
      <c r="D5" s="59" t="s">
        <v>119</v>
      </c>
      <c r="E5" s="59">
        <v>2008</v>
      </c>
      <c r="F5" s="59">
        <v>4</v>
      </c>
      <c r="G5" s="59">
        <v>239</v>
      </c>
      <c r="H5" s="59">
        <f t="shared" si="0"/>
        <v>956</v>
      </c>
      <c r="I5" s="59">
        <f t="shared" si="1"/>
        <v>262.89999999999998</v>
      </c>
      <c r="J5" s="59">
        <f t="shared" si="1"/>
        <v>286.8</v>
      </c>
      <c r="K5" s="59">
        <f t="shared" si="1"/>
        <v>310.7</v>
      </c>
      <c r="L5" s="59">
        <f t="shared" si="2"/>
        <v>1051.5999999999999</v>
      </c>
      <c r="M5" s="59">
        <f t="shared" si="2"/>
        <v>1147.2</v>
      </c>
      <c r="N5" s="62">
        <f t="shared" si="2"/>
        <v>1242.8</v>
      </c>
    </row>
    <row r="6" spans="2:14">
      <c r="B6" s="61" t="s">
        <v>120</v>
      </c>
      <c r="C6" s="59" t="s">
        <v>121</v>
      </c>
      <c r="D6" s="59" t="s">
        <v>122</v>
      </c>
      <c r="E6" s="59">
        <v>2005</v>
      </c>
      <c r="F6" s="59">
        <v>13</v>
      </c>
      <c r="G6" s="59">
        <v>399</v>
      </c>
      <c r="H6" s="59">
        <f t="shared" si="0"/>
        <v>5187</v>
      </c>
      <c r="I6" s="59">
        <f t="shared" si="1"/>
        <v>438.9</v>
      </c>
      <c r="J6" s="59">
        <f t="shared" si="1"/>
        <v>478.8</v>
      </c>
      <c r="K6" s="59">
        <f t="shared" si="1"/>
        <v>518.70000000000005</v>
      </c>
      <c r="L6" s="59">
        <f t="shared" si="2"/>
        <v>5705.7</v>
      </c>
      <c r="M6" s="59">
        <f t="shared" si="2"/>
        <v>6224.4000000000005</v>
      </c>
      <c r="N6" s="62">
        <f t="shared" si="2"/>
        <v>6743.1</v>
      </c>
    </row>
    <row r="7" spans="2:14">
      <c r="B7" s="61" t="s">
        <v>123</v>
      </c>
      <c r="C7" s="59" t="s">
        <v>124</v>
      </c>
      <c r="D7" s="59" t="s">
        <v>125</v>
      </c>
      <c r="E7" s="59">
        <v>2001</v>
      </c>
      <c r="F7" s="59">
        <v>6</v>
      </c>
      <c r="G7" s="59">
        <v>139</v>
      </c>
      <c r="H7" s="59">
        <f t="shared" si="0"/>
        <v>834</v>
      </c>
      <c r="I7" s="59">
        <f t="shared" si="1"/>
        <v>152.9</v>
      </c>
      <c r="J7" s="59">
        <f t="shared" si="1"/>
        <v>166.8</v>
      </c>
      <c r="K7" s="59">
        <f t="shared" si="1"/>
        <v>180.7</v>
      </c>
      <c r="L7" s="59">
        <f t="shared" si="2"/>
        <v>917.40000000000009</v>
      </c>
      <c r="M7" s="59">
        <f t="shared" si="2"/>
        <v>1000.8000000000001</v>
      </c>
      <c r="N7" s="62">
        <f t="shared" si="2"/>
        <v>1084.1999999999998</v>
      </c>
    </row>
    <row r="8" spans="2:14">
      <c r="B8" s="61" t="s">
        <v>126</v>
      </c>
      <c r="C8" s="59" t="s">
        <v>127</v>
      </c>
      <c r="D8" s="59" t="s">
        <v>128</v>
      </c>
      <c r="E8" s="59">
        <v>2007</v>
      </c>
      <c r="F8" s="59">
        <v>6</v>
      </c>
      <c r="G8" s="59">
        <v>499</v>
      </c>
      <c r="H8" s="59">
        <f t="shared" si="0"/>
        <v>2994</v>
      </c>
      <c r="I8" s="59">
        <f t="shared" si="1"/>
        <v>548.9</v>
      </c>
      <c r="J8" s="59">
        <f t="shared" si="1"/>
        <v>598.79999999999995</v>
      </c>
      <c r="K8" s="59">
        <f t="shared" si="1"/>
        <v>648.70000000000005</v>
      </c>
      <c r="L8" s="59">
        <f t="shared" si="2"/>
        <v>3293.3999999999996</v>
      </c>
      <c r="M8" s="59">
        <f t="shared" si="2"/>
        <v>3592.7999999999997</v>
      </c>
      <c r="N8" s="62">
        <f t="shared" si="2"/>
        <v>3892.2000000000003</v>
      </c>
    </row>
    <row r="9" spans="2:14">
      <c r="B9" s="61" t="s">
        <v>129</v>
      </c>
      <c r="C9" s="59" t="s">
        <v>127</v>
      </c>
      <c r="D9" s="59" t="s">
        <v>130</v>
      </c>
      <c r="E9" s="59">
        <v>2007</v>
      </c>
      <c r="F9" s="59">
        <v>11</v>
      </c>
      <c r="G9" s="59">
        <v>159</v>
      </c>
      <c r="H9" s="59">
        <f t="shared" si="0"/>
        <v>1749</v>
      </c>
      <c r="I9" s="59">
        <f t="shared" si="1"/>
        <v>174.9</v>
      </c>
      <c r="J9" s="59">
        <f t="shared" si="1"/>
        <v>190.8</v>
      </c>
      <c r="K9" s="59">
        <f t="shared" si="1"/>
        <v>206.7</v>
      </c>
      <c r="L9" s="59">
        <f t="shared" si="2"/>
        <v>1923.9</v>
      </c>
      <c r="M9" s="59">
        <f t="shared" si="2"/>
        <v>2098.8000000000002</v>
      </c>
      <c r="N9" s="62">
        <f t="shared" si="2"/>
        <v>2273.6999999999998</v>
      </c>
    </row>
    <row r="10" spans="2:14">
      <c r="B10" s="61" t="s">
        <v>131</v>
      </c>
      <c r="C10" s="59" t="s">
        <v>127</v>
      </c>
      <c r="D10" s="59" t="s">
        <v>132</v>
      </c>
      <c r="E10" s="59">
        <v>2008</v>
      </c>
      <c r="F10" s="59">
        <v>3</v>
      </c>
      <c r="G10" s="59">
        <v>299</v>
      </c>
      <c r="H10" s="59">
        <f t="shared" si="0"/>
        <v>897</v>
      </c>
      <c r="I10" s="59">
        <f t="shared" si="1"/>
        <v>328.9</v>
      </c>
      <c r="J10" s="59">
        <f t="shared" si="1"/>
        <v>358.8</v>
      </c>
      <c r="K10" s="59">
        <f t="shared" si="1"/>
        <v>388.7</v>
      </c>
      <c r="L10" s="59">
        <f t="shared" si="2"/>
        <v>986.69999999999993</v>
      </c>
      <c r="M10" s="59">
        <f t="shared" si="2"/>
        <v>1076.4000000000001</v>
      </c>
      <c r="N10" s="62">
        <f t="shared" si="2"/>
        <v>1166.0999999999999</v>
      </c>
    </row>
    <row r="11" spans="2:14">
      <c r="B11" s="61" t="s">
        <v>133</v>
      </c>
      <c r="C11" s="59" t="s">
        <v>134</v>
      </c>
      <c r="D11" s="59" t="s">
        <v>135</v>
      </c>
      <c r="E11" s="59">
        <v>2008</v>
      </c>
      <c r="F11" s="59">
        <v>8</v>
      </c>
      <c r="G11" s="59">
        <v>699</v>
      </c>
      <c r="H11" s="59">
        <f t="shared" si="0"/>
        <v>5592</v>
      </c>
      <c r="I11" s="59">
        <f t="shared" si="1"/>
        <v>768.9</v>
      </c>
      <c r="J11" s="59">
        <f t="shared" si="1"/>
        <v>838.8</v>
      </c>
      <c r="K11" s="59">
        <f t="shared" si="1"/>
        <v>908.7</v>
      </c>
      <c r="L11" s="59">
        <f t="shared" si="2"/>
        <v>6151.2</v>
      </c>
      <c r="M11" s="59">
        <f t="shared" si="2"/>
        <v>6710.4</v>
      </c>
      <c r="N11" s="62">
        <f t="shared" si="2"/>
        <v>7269.6</v>
      </c>
    </row>
    <row r="12" spans="2:14">
      <c r="B12" s="61" t="s">
        <v>136</v>
      </c>
      <c r="C12" s="59" t="s">
        <v>134</v>
      </c>
      <c r="D12" s="59" t="s">
        <v>137</v>
      </c>
      <c r="E12" s="59">
        <v>2008</v>
      </c>
      <c r="F12" s="59">
        <v>6</v>
      </c>
      <c r="G12" s="59">
        <v>999</v>
      </c>
      <c r="H12" s="59">
        <f t="shared" si="0"/>
        <v>5994</v>
      </c>
      <c r="I12" s="59">
        <f t="shared" si="1"/>
        <v>1098.9000000000001</v>
      </c>
      <c r="J12" s="59">
        <f t="shared" si="1"/>
        <v>1198.8</v>
      </c>
      <c r="K12" s="59">
        <f t="shared" si="1"/>
        <v>1298.7</v>
      </c>
      <c r="L12" s="59">
        <f t="shared" si="2"/>
        <v>6593.4000000000005</v>
      </c>
      <c r="M12" s="59">
        <f t="shared" si="2"/>
        <v>7192.7999999999993</v>
      </c>
      <c r="N12" s="62">
        <f t="shared" si="2"/>
        <v>7792.2000000000007</v>
      </c>
    </row>
    <row r="13" spans="2:14">
      <c r="B13" s="61" t="s">
        <v>138</v>
      </c>
      <c r="C13" s="59" t="s">
        <v>139</v>
      </c>
      <c r="D13" s="59" t="s">
        <v>140</v>
      </c>
      <c r="E13" s="59">
        <v>2010</v>
      </c>
      <c r="F13" s="59">
        <v>2</v>
      </c>
      <c r="G13" s="59">
        <v>590</v>
      </c>
      <c r="H13" s="59">
        <f t="shared" si="0"/>
        <v>1180</v>
      </c>
      <c r="I13" s="59">
        <f t="shared" si="1"/>
        <v>649</v>
      </c>
      <c r="J13" s="59">
        <f t="shared" si="1"/>
        <v>708</v>
      </c>
      <c r="K13" s="59">
        <f t="shared" si="1"/>
        <v>767</v>
      </c>
      <c r="L13" s="59">
        <f t="shared" si="2"/>
        <v>1298</v>
      </c>
      <c r="M13" s="59">
        <f t="shared" si="2"/>
        <v>1416</v>
      </c>
      <c r="N13" s="62">
        <f t="shared" si="2"/>
        <v>1534</v>
      </c>
    </row>
    <row r="14" spans="2:14">
      <c r="B14" s="61" t="s">
        <v>141</v>
      </c>
      <c r="C14" s="59" t="s">
        <v>142</v>
      </c>
      <c r="D14" s="59" t="s">
        <v>143</v>
      </c>
      <c r="E14" s="59">
        <v>2010</v>
      </c>
      <c r="F14" s="59">
        <v>10</v>
      </c>
      <c r="G14" s="59">
        <v>590</v>
      </c>
      <c r="H14" s="59">
        <f t="shared" si="0"/>
        <v>5900</v>
      </c>
      <c r="I14" s="59">
        <f t="shared" si="1"/>
        <v>649</v>
      </c>
      <c r="J14" s="59">
        <f t="shared" si="1"/>
        <v>708</v>
      </c>
      <c r="K14" s="59">
        <f t="shared" si="1"/>
        <v>767</v>
      </c>
      <c r="L14" s="59">
        <f t="shared" si="2"/>
        <v>6490</v>
      </c>
      <c r="M14" s="59">
        <f t="shared" si="2"/>
        <v>7080</v>
      </c>
      <c r="N14" s="62">
        <f t="shared" si="2"/>
        <v>7670</v>
      </c>
    </row>
    <row r="15" spans="2:14">
      <c r="B15" s="61" t="s">
        <v>144</v>
      </c>
      <c r="C15" s="59" t="s">
        <v>145</v>
      </c>
      <c r="D15" s="59" t="s">
        <v>146</v>
      </c>
      <c r="E15" s="59">
        <v>2009</v>
      </c>
      <c r="F15" s="59">
        <v>10</v>
      </c>
      <c r="G15" s="59">
        <v>579</v>
      </c>
      <c r="H15" s="59">
        <f t="shared" si="0"/>
        <v>5790</v>
      </c>
      <c r="I15" s="59">
        <f t="shared" si="1"/>
        <v>636.9</v>
      </c>
      <c r="J15" s="59">
        <f t="shared" si="1"/>
        <v>694.8</v>
      </c>
      <c r="K15" s="59">
        <f t="shared" si="1"/>
        <v>752.7</v>
      </c>
      <c r="L15" s="59">
        <f t="shared" si="2"/>
        <v>6369</v>
      </c>
      <c r="M15" s="59">
        <f t="shared" si="2"/>
        <v>6948</v>
      </c>
      <c r="N15" s="62">
        <f t="shared" si="2"/>
        <v>7527</v>
      </c>
    </row>
    <row r="16" spans="2:14" ht="15" thickBot="1">
      <c r="B16" s="63" t="s">
        <v>147</v>
      </c>
      <c r="C16" s="64" t="s">
        <v>148</v>
      </c>
      <c r="D16" s="64" t="s">
        <v>149</v>
      </c>
      <c r="E16" s="64">
        <v>1991</v>
      </c>
      <c r="F16" s="64">
        <v>3</v>
      </c>
      <c r="G16" s="64">
        <v>269</v>
      </c>
      <c r="H16" s="64">
        <f t="shared" si="0"/>
        <v>807</v>
      </c>
      <c r="I16" s="64">
        <f t="shared" si="1"/>
        <v>295.89999999999998</v>
      </c>
      <c r="J16" s="64">
        <f t="shared" si="1"/>
        <v>322.8</v>
      </c>
      <c r="K16" s="64">
        <f t="shared" si="1"/>
        <v>349.7</v>
      </c>
      <c r="L16" s="64">
        <f t="shared" si="2"/>
        <v>887.69999999999993</v>
      </c>
      <c r="M16" s="64">
        <f t="shared" si="2"/>
        <v>968.40000000000009</v>
      </c>
      <c r="N16" s="65">
        <f t="shared" si="2"/>
        <v>1049.0999999999999</v>
      </c>
    </row>
    <row r="18" spans="2:14" ht="18.600000000000001">
      <c r="B18" s="66" t="s">
        <v>150</v>
      </c>
      <c r="H18">
        <f t="shared" ref="H18:N18" si="3">SUM(H3:H16)</f>
        <v>46956</v>
      </c>
      <c r="I18">
        <f t="shared" si="3"/>
        <v>7203.9</v>
      </c>
      <c r="J18">
        <f t="shared" si="3"/>
        <v>7858.8000000000011</v>
      </c>
      <c r="K18">
        <f t="shared" si="3"/>
        <v>8513.6999999999989</v>
      </c>
      <c r="L18">
        <f t="shared" si="3"/>
        <v>51651.600000000006</v>
      </c>
      <c r="M18">
        <f t="shared" si="3"/>
        <v>56347.200000000004</v>
      </c>
      <c r="N18">
        <f t="shared" si="3"/>
        <v>61042.799999999996</v>
      </c>
    </row>
    <row r="19" spans="2:14" ht="15" thickBot="1">
      <c r="M19" s="67"/>
    </row>
    <row r="20" spans="2:14">
      <c r="H20" s="68" t="s">
        <v>151</v>
      </c>
      <c r="I20" s="69">
        <v>0.1</v>
      </c>
      <c r="J20" s="70">
        <v>0.2</v>
      </c>
      <c r="K20" s="71">
        <v>0.3</v>
      </c>
      <c r="M20" s="67"/>
    </row>
    <row r="21" spans="2:14" ht="15" thickBot="1">
      <c r="H21" s="72" t="s">
        <v>152</v>
      </c>
      <c r="I21" s="73">
        <f>L18-$H$18</f>
        <v>4695.6000000000058</v>
      </c>
      <c r="J21" s="73">
        <f t="shared" ref="J21:K21" si="4">M18-$H$18</f>
        <v>9391.2000000000044</v>
      </c>
      <c r="K21" s="74">
        <f t="shared" si="4"/>
        <v>14086.799999999996</v>
      </c>
      <c r="M21" s="6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C5BE7-8E5D-4AE2-9AA8-2D91330E7BBB}">
  <sheetPr codeName="Hárok4">
    <tabColor rgb="FF92D050"/>
  </sheetPr>
  <dimension ref="B1:K23"/>
  <sheetViews>
    <sheetView workbookViewId="0">
      <selection activeCell="D16" sqref="D16"/>
    </sheetView>
  </sheetViews>
  <sheetFormatPr defaultRowHeight="14.45"/>
  <cols>
    <col min="1" max="1" width="3.5703125" customWidth="1"/>
    <col min="2" max="2" width="11.42578125" customWidth="1"/>
    <col min="3" max="4" width="12.5703125" bestFit="1" customWidth="1"/>
    <col min="5" max="5" width="16.5703125" bestFit="1" customWidth="1"/>
    <col min="6" max="6" width="13.140625" bestFit="1" customWidth="1"/>
    <col min="8" max="8" width="12.5703125" bestFit="1" customWidth="1"/>
    <col min="9" max="9" width="10.5703125" bestFit="1" customWidth="1"/>
    <col min="10" max="10" width="25.5703125" bestFit="1" customWidth="1"/>
    <col min="11" max="11" width="17" bestFit="1" customWidth="1"/>
  </cols>
  <sheetData>
    <row r="1" spans="2:11" ht="18.600000000000001">
      <c r="B1" s="133" t="s">
        <v>153</v>
      </c>
      <c r="C1" s="133"/>
      <c r="D1" s="133"/>
      <c r="E1" s="133"/>
      <c r="F1" s="133"/>
    </row>
    <row r="2" spans="2:11">
      <c r="B2" s="75" t="s">
        <v>154</v>
      </c>
      <c r="C2" s="75" t="s">
        <v>155</v>
      </c>
      <c r="D2" s="75" t="s">
        <v>156</v>
      </c>
      <c r="E2" s="75" t="s">
        <v>157</v>
      </c>
      <c r="F2" s="75" t="s">
        <v>158</v>
      </c>
      <c r="H2" s="75" t="s">
        <v>159</v>
      </c>
      <c r="I2" s="75" t="s">
        <v>160</v>
      </c>
      <c r="J2" s="75" t="s">
        <v>161</v>
      </c>
      <c r="K2" s="75" t="s">
        <v>162</v>
      </c>
    </row>
    <row r="3" spans="2:11">
      <c r="B3" s="76">
        <v>10</v>
      </c>
      <c r="C3" s="76">
        <f>ABS(B3)</f>
        <v>10</v>
      </c>
      <c r="D3" s="76">
        <f>INT(B3)</f>
        <v>10</v>
      </c>
      <c r="E3" s="76">
        <f>ROUND(B3,2)</f>
        <v>10</v>
      </c>
      <c r="F3" s="76">
        <f>ODD(B3)</f>
        <v>11</v>
      </c>
      <c r="H3" s="77" t="s">
        <v>163</v>
      </c>
      <c r="I3" s="77">
        <v>28</v>
      </c>
      <c r="J3" s="77">
        <f>I3/I9</f>
        <v>0.18543046357615894</v>
      </c>
      <c r="K3" s="78">
        <f>I3/$I$9</f>
        <v>0.18543046357615894</v>
      </c>
    </row>
    <row r="4" spans="2:11">
      <c r="B4" s="76">
        <v>5.1234000000000002</v>
      </c>
      <c r="C4" s="76">
        <f t="shared" ref="C4:C6" si="0">ABS(B4)</f>
        <v>5.1234000000000002</v>
      </c>
      <c r="D4" s="76">
        <f t="shared" ref="D4:D6" si="1">INT(B4)</f>
        <v>5</v>
      </c>
      <c r="E4" s="76">
        <f t="shared" ref="E4:E6" si="2">ROUND(B4,2)</f>
        <v>5.12</v>
      </c>
      <c r="F4" s="76">
        <f t="shared" ref="F4:F6" si="3">ODD(B4)</f>
        <v>7</v>
      </c>
      <c r="H4" s="79" t="s">
        <v>164</v>
      </c>
      <c r="I4" s="79">
        <v>5</v>
      </c>
      <c r="J4" s="80" t="e">
        <f>I4/I12</f>
        <v>#DIV/0!</v>
      </c>
      <c r="K4" s="81">
        <f>I4/$I$9</f>
        <v>3.3112582781456956E-2</v>
      </c>
    </row>
    <row r="5" spans="2:11">
      <c r="B5" s="76">
        <v>-15.2</v>
      </c>
      <c r="C5" s="76">
        <f t="shared" si="0"/>
        <v>15.2</v>
      </c>
      <c r="D5" s="76">
        <f t="shared" si="1"/>
        <v>-16</v>
      </c>
      <c r="E5" s="76">
        <f t="shared" si="2"/>
        <v>-15.2</v>
      </c>
      <c r="F5" s="76">
        <f t="shared" si="3"/>
        <v>-17</v>
      </c>
      <c r="H5" s="79" t="s">
        <v>165</v>
      </c>
      <c r="I5" s="79">
        <v>60</v>
      </c>
      <c r="J5" s="80" t="e">
        <f>I5/K13</f>
        <v>#DIV/0!</v>
      </c>
      <c r="K5" s="81">
        <f>I5/$I$9</f>
        <v>0.39735099337748342</v>
      </c>
    </row>
    <row r="6" spans="2:11">
      <c r="B6" s="76">
        <v>200.77699999999999</v>
      </c>
      <c r="C6" s="76">
        <f t="shared" si="0"/>
        <v>200.77699999999999</v>
      </c>
      <c r="D6" s="76">
        <f t="shared" si="1"/>
        <v>200</v>
      </c>
      <c r="E6" s="76">
        <f t="shared" si="2"/>
        <v>200.78</v>
      </c>
      <c r="F6" s="76">
        <f t="shared" si="3"/>
        <v>201</v>
      </c>
      <c r="H6" s="79" t="s">
        <v>166</v>
      </c>
      <c r="I6" s="79">
        <v>53</v>
      </c>
      <c r="J6" s="80" t="e">
        <f>I6/K14</f>
        <v>#DIV/0!</v>
      </c>
      <c r="K6" s="81">
        <f>I6/$I$9</f>
        <v>0.35099337748344372</v>
      </c>
    </row>
    <row r="7" spans="2:11">
      <c r="H7" s="82" t="s">
        <v>167</v>
      </c>
      <c r="I7" s="83">
        <v>5</v>
      </c>
      <c r="J7" s="84" t="e">
        <f>I7/K16</f>
        <v>#DIV/0!</v>
      </c>
      <c r="K7" s="83">
        <f>I7/$I$9</f>
        <v>3.3112582781456956E-2</v>
      </c>
    </row>
    <row r="8" spans="2:11" ht="18.600000000000001">
      <c r="B8" s="133" t="s">
        <v>168</v>
      </c>
      <c r="C8" s="133"/>
      <c r="D8" s="133"/>
      <c r="E8" s="133"/>
      <c r="F8" s="133"/>
    </row>
    <row r="9" spans="2:11">
      <c r="B9" s="75" t="s">
        <v>169</v>
      </c>
      <c r="C9" s="75" t="s">
        <v>170</v>
      </c>
      <c r="D9" s="75" t="s">
        <v>171</v>
      </c>
      <c r="E9" s="75" t="s">
        <v>172</v>
      </c>
      <c r="F9" s="75" t="s">
        <v>173</v>
      </c>
      <c r="H9" t="s">
        <v>85</v>
      </c>
      <c r="I9">
        <f>SUM(I3:I7)</f>
        <v>151</v>
      </c>
    </row>
    <row r="10" spans="2:11">
      <c r="B10" s="76">
        <v>30</v>
      </c>
      <c r="C10" s="76">
        <f>RADIANS(B10)</f>
        <v>0.52359877559829882</v>
      </c>
      <c r="D10" s="76">
        <f>SIN(C10)</f>
        <v>0.49999999999999994</v>
      </c>
      <c r="E10" s="76">
        <f>COS(C10)</f>
        <v>0.86602540378443871</v>
      </c>
      <c r="F10" s="76">
        <f>ATAN(C10)</f>
        <v>0.48234790710102493</v>
      </c>
    </row>
    <row r="11" spans="2:11">
      <c r="B11" s="76">
        <v>60</v>
      </c>
      <c r="C11" s="76">
        <f t="shared" ref="C11:C13" si="4">RADIANS(B11)</f>
        <v>1.0471975511965976</v>
      </c>
      <c r="D11" s="76">
        <f t="shared" ref="D11:D13" si="5">SIN(C11)</f>
        <v>0.8660254037844386</v>
      </c>
      <c r="E11" s="76">
        <f t="shared" ref="E11:E13" si="6">COS(C11)</f>
        <v>0.50000000000000011</v>
      </c>
      <c r="F11" s="76">
        <f t="shared" ref="F11:F13" si="7">ATAN(C11)</f>
        <v>0.80844879263002201</v>
      </c>
    </row>
    <row r="12" spans="2:11">
      <c r="B12" s="76">
        <v>90</v>
      </c>
      <c r="C12" s="76">
        <f t="shared" si="4"/>
        <v>1.5707963267948966</v>
      </c>
      <c r="D12" s="76">
        <f t="shared" si="5"/>
        <v>1</v>
      </c>
      <c r="E12" s="76">
        <f t="shared" si="6"/>
        <v>6.1257422745431001E-17</v>
      </c>
      <c r="F12" s="76">
        <f t="shared" si="7"/>
        <v>1.0038848218538872</v>
      </c>
    </row>
    <row r="13" spans="2:11">
      <c r="B13" s="76">
        <f>-45</f>
        <v>-45</v>
      </c>
      <c r="C13" s="76">
        <f t="shared" si="4"/>
        <v>-0.78539816339744828</v>
      </c>
      <c r="D13" s="76">
        <f t="shared" si="5"/>
        <v>-0.70710678118654746</v>
      </c>
      <c r="E13" s="76">
        <f t="shared" si="6"/>
        <v>0.70710678118654757</v>
      </c>
      <c r="F13" s="76">
        <f t="shared" si="7"/>
        <v>-0.66577375002835382</v>
      </c>
    </row>
    <row r="15" spans="2:11" ht="18.600000000000001">
      <c r="B15" s="133" t="s">
        <v>174</v>
      </c>
      <c r="C15" s="133"/>
      <c r="D15" s="133"/>
      <c r="F15" s="133" t="s">
        <v>175</v>
      </c>
      <c r="G15" s="133"/>
      <c r="H15" s="133"/>
    </row>
    <row r="16" spans="2:11">
      <c r="B16" s="76">
        <v>1</v>
      </c>
      <c r="C16" s="76">
        <v>0</v>
      </c>
      <c r="D16" s="76">
        <v>3</v>
      </c>
      <c r="F16" s="59">
        <f t="array" ref="F16:H18">MINVERSE(B16:D18)</f>
        <v>-0.5</v>
      </c>
      <c r="G16" s="59">
        <v>0</v>
      </c>
      <c r="H16" s="59">
        <v>1.5</v>
      </c>
    </row>
    <row r="17" spans="2:8">
      <c r="B17" s="76">
        <v>-2</v>
      </c>
      <c r="C17" s="76">
        <v>1</v>
      </c>
      <c r="D17" s="76">
        <v>0</v>
      </c>
      <c r="F17" s="59">
        <v>-1</v>
      </c>
      <c r="G17" s="59">
        <v>1</v>
      </c>
      <c r="H17" s="59">
        <v>3</v>
      </c>
    </row>
    <row r="18" spans="2:8">
      <c r="B18" s="76">
        <v>1</v>
      </c>
      <c r="C18" s="76">
        <v>0</v>
      </c>
      <c r="D18" s="76">
        <v>1</v>
      </c>
      <c r="F18" s="59">
        <v>0.5</v>
      </c>
      <c r="G18" s="59">
        <v>0</v>
      </c>
      <c r="H18" s="59">
        <v>-0.5</v>
      </c>
    </row>
    <row r="20" spans="2:8" ht="18.600000000000001">
      <c r="B20" s="133" t="s">
        <v>176</v>
      </c>
      <c r="C20" s="133"/>
      <c r="D20" s="133"/>
    </row>
    <row r="21" spans="2:8" ht="18.600000000000001">
      <c r="B21" s="59">
        <f t="array" ref="B21:D23">MMULT(B16:D18,F16:H18)</f>
        <v>1</v>
      </c>
      <c r="C21" s="59">
        <v>0</v>
      </c>
      <c r="D21" s="59">
        <v>0</v>
      </c>
      <c r="F21" s="131" t="s">
        <v>177</v>
      </c>
      <c r="G21" s="132"/>
      <c r="H21" s="59">
        <f>MDETERM(B16:D18)</f>
        <v>-2</v>
      </c>
    </row>
    <row r="22" spans="2:8">
      <c r="B22" s="59">
        <v>0</v>
      </c>
      <c r="C22" s="59">
        <v>1</v>
      </c>
      <c r="D22" s="59">
        <v>0</v>
      </c>
    </row>
    <row r="23" spans="2:8">
      <c r="B23" s="59">
        <v>0</v>
      </c>
      <c r="C23" s="59">
        <v>0</v>
      </c>
      <c r="D23" s="59">
        <v>1</v>
      </c>
    </row>
  </sheetData>
  <mergeCells count="6">
    <mergeCell ref="F21:G21"/>
    <mergeCell ref="B1:F1"/>
    <mergeCell ref="B8:F8"/>
    <mergeCell ref="B15:D15"/>
    <mergeCell ref="F15:H15"/>
    <mergeCell ref="B20:D2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2F542-1BBC-43F0-9385-AFEE776506EE}">
  <sheetPr codeName="Hárok34">
    <tabColor rgb="FF92D050"/>
  </sheetPr>
  <dimension ref="A1:E37"/>
  <sheetViews>
    <sheetView zoomScale="130" zoomScaleNormal="130" workbookViewId="0">
      <selection activeCell="B12" sqref="B12"/>
    </sheetView>
  </sheetViews>
  <sheetFormatPr defaultRowHeight="14.45"/>
  <cols>
    <col min="1" max="1" width="30" bestFit="1" customWidth="1"/>
    <col min="2" max="2" width="19.42578125" bestFit="1" customWidth="1"/>
    <col min="3" max="3" width="17" bestFit="1" customWidth="1"/>
    <col min="4" max="4" width="34" bestFit="1" customWidth="1"/>
    <col min="5" max="5" width="12.85546875" bestFit="1" customWidth="1"/>
  </cols>
  <sheetData>
    <row r="1" spans="1:5">
      <c r="A1" t="s">
        <v>98</v>
      </c>
      <c r="B1" t="s">
        <v>99</v>
      </c>
      <c r="C1" t="s">
        <v>100</v>
      </c>
      <c r="D1" t="s">
        <v>178</v>
      </c>
      <c r="E1" t="s">
        <v>179</v>
      </c>
    </row>
    <row r="2" spans="1:5">
      <c r="A2" t="s">
        <v>180</v>
      </c>
      <c r="D2" t="s">
        <v>181</v>
      </c>
    </row>
    <row r="3" spans="1:5">
      <c r="B3" t="s">
        <v>182</v>
      </c>
      <c r="C3" t="s">
        <v>183</v>
      </c>
      <c r="E3">
        <v>159</v>
      </c>
    </row>
    <row r="4" spans="1:5">
      <c r="A4" t="s">
        <v>184</v>
      </c>
      <c r="D4" t="s">
        <v>181</v>
      </c>
    </row>
    <row r="5" spans="1:5">
      <c r="B5" t="s">
        <v>185</v>
      </c>
      <c r="C5" t="s">
        <v>186</v>
      </c>
      <c r="E5">
        <v>159</v>
      </c>
    </row>
    <row r="6" spans="1:5">
      <c r="A6" t="s">
        <v>187</v>
      </c>
      <c r="D6" t="s">
        <v>188</v>
      </c>
    </row>
    <row r="7" spans="1:5">
      <c r="B7" t="s">
        <v>189</v>
      </c>
      <c r="C7" t="s">
        <v>190</v>
      </c>
      <c r="E7">
        <v>349</v>
      </c>
    </row>
    <row r="8" spans="1:5">
      <c r="A8" t="s">
        <v>191</v>
      </c>
      <c r="D8" t="s">
        <v>188</v>
      </c>
    </row>
    <row r="9" spans="1:5">
      <c r="B9" t="s">
        <v>192</v>
      </c>
      <c r="C9" t="s">
        <v>193</v>
      </c>
      <c r="E9">
        <v>599</v>
      </c>
    </row>
    <row r="10" spans="1:5">
      <c r="A10" t="s">
        <v>194</v>
      </c>
      <c r="D10" t="s">
        <v>195</v>
      </c>
    </row>
    <row r="11" spans="1:5">
      <c r="B11" t="s">
        <v>196</v>
      </c>
      <c r="C11" t="s">
        <v>197</v>
      </c>
      <c r="E11">
        <v>590</v>
      </c>
    </row>
    <row r="12" spans="1:5">
      <c r="A12" t="s">
        <v>198</v>
      </c>
      <c r="D12" t="s">
        <v>181</v>
      </c>
    </row>
    <row r="13" spans="1:5">
      <c r="B13" t="s">
        <v>199</v>
      </c>
      <c r="C13" t="s">
        <v>200</v>
      </c>
      <c r="E13">
        <v>199</v>
      </c>
    </row>
    <row r="14" spans="1:5">
      <c r="A14" t="s">
        <v>201</v>
      </c>
      <c r="D14" t="s">
        <v>195</v>
      </c>
    </row>
    <row r="15" spans="1:5">
      <c r="B15" t="s">
        <v>202</v>
      </c>
      <c r="C15" t="s">
        <v>203</v>
      </c>
      <c r="E15">
        <v>390</v>
      </c>
    </row>
    <row r="16" spans="1:5">
      <c r="A16" t="s">
        <v>204</v>
      </c>
      <c r="D16" t="s">
        <v>181</v>
      </c>
    </row>
    <row r="17" spans="1:5">
      <c r="B17" t="s">
        <v>205</v>
      </c>
      <c r="C17" t="s">
        <v>206</v>
      </c>
      <c r="E17">
        <v>159</v>
      </c>
    </row>
    <row r="18" spans="1:5">
      <c r="A18" t="s">
        <v>207</v>
      </c>
      <c r="D18" t="s">
        <v>188</v>
      </c>
    </row>
    <row r="19" spans="1:5">
      <c r="B19" t="s">
        <v>208</v>
      </c>
      <c r="C19" t="s">
        <v>209</v>
      </c>
      <c r="E19">
        <v>399</v>
      </c>
    </row>
    <row r="20" spans="1:5">
      <c r="A20" t="s">
        <v>210</v>
      </c>
      <c r="D20" t="s">
        <v>181</v>
      </c>
    </row>
    <row r="21" spans="1:5">
      <c r="B21" t="s">
        <v>211</v>
      </c>
      <c r="C21" t="s">
        <v>212</v>
      </c>
      <c r="E21">
        <v>139</v>
      </c>
    </row>
    <row r="22" spans="1:5">
      <c r="A22" t="s">
        <v>213</v>
      </c>
      <c r="D22" t="s">
        <v>214</v>
      </c>
    </row>
    <row r="23" spans="1:5">
      <c r="B23" t="s">
        <v>211</v>
      </c>
      <c r="C23" t="s">
        <v>215</v>
      </c>
      <c r="E23">
        <v>764</v>
      </c>
    </row>
    <row r="24" spans="1:5">
      <c r="A24" t="s">
        <v>216</v>
      </c>
      <c r="D24" t="s">
        <v>214</v>
      </c>
    </row>
    <row r="25" spans="1:5">
      <c r="B25" t="s">
        <v>217</v>
      </c>
      <c r="C25" t="s">
        <v>218</v>
      </c>
      <c r="E25">
        <v>799</v>
      </c>
    </row>
    <row r="26" spans="1:5">
      <c r="A26" t="s">
        <v>219</v>
      </c>
      <c r="D26" t="s">
        <v>188</v>
      </c>
    </row>
    <row r="27" spans="1:5">
      <c r="B27" t="s">
        <v>220</v>
      </c>
      <c r="C27" t="s">
        <v>221</v>
      </c>
      <c r="E27">
        <v>499</v>
      </c>
    </row>
    <row r="28" spans="1:5">
      <c r="A28" t="s">
        <v>222</v>
      </c>
      <c r="D28" t="s">
        <v>188</v>
      </c>
    </row>
    <row r="29" spans="1:5">
      <c r="B29" t="s">
        <v>223</v>
      </c>
      <c r="C29" t="s">
        <v>224</v>
      </c>
      <c r="E29">
        <v>159</v>
      </c>
    </row>
    <row r="30" spans="1:5">
      <c r="A30" t="s">
        <v>225</v>
      </c>
      <c r="D30" t="s">
        <v>195</v>
      </c>
    </row>
    <row r="31" spans="1:5">
      <c r="B31" t="s">
        <v>226</v>
      </c>
      <c r="C31" t="s">
        <v>227</v>
      </c>
      <c r="E31">
        <v>590</v>
      </c>
    </row>
    <row r="32" spans="1:5">
      <c r="A32" t="s">
        <v>228</v>
      </c>
      <c r="D32" t="s">
        <v>214</v>
      </c>
    </row>
    <row r="33" spans="1:5">
      <c r="B33" t="s">
        <v>229</v>
      </c>
      <c r="C33" t="s">
        <v>230</v>
      </c>
      <c r="E33">
        <v>461</v>
      </c>
    </row>
    <row r="34" spans="1:5">
      <c r="A34" t="s">
        <v>231</v>
      </c>
      <c r="D34" t="s">
        <v>232</v>
      </c>
    </row>
    <row r="35" spans="1:5">
      <c r="B35" t="s">
        <v>233</v>
      </c>
      <c r="C35" t="s">
        <v>234</v>
      </c>
      <c r="E35">
        <v>588</v>
      </c>
    </row>
    <row r="36" spans="1:5">
      <c r="A36" t="s">
        <v>235</v>
      </c>
      <c r="D36" t="s">
        <v>236</v>
      </c>
    </row>
    <row r="37" spans="1:5">
      <c r="B37" t="s">
        <v>237</v>
      </c>
      <c r="C37" t="s">
        <v>238</v>
      </c>
      <c r="E37">
        <v>229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22AD4-CE05-4A29-9C52-5D6617B5BB47}">
  <sheetPr codeName="Hárok27">
    <tabColor rgb="FF92D050"/>
  </sheetPr>
  <dimension ref="A1:E19"/>
  <sheetViews>
    <sheetView workbookViewId="0">
      <selection activeCell="B12" sqref="B12"/>
    </sheetView>
  </sheetViews>
  <sheetFormatPr defaultRowHeight="14.45"/>
  <cols>
    <col min="1" max="1" width="30" bestFit="1" customWidth="1"/>
    <col min="2" max="2" width="19.42578125" bestFit="1" customWidth="1"/>
    <col min="3" max="3" width="17" bestFit="1" customWidth="1"/>
    <col min="4" max="4" width="34" bestFit="1" customWidth="1"/>
    <col min="5" max="5" width="12.85546875" bestFit="1" customWidth="1"/>
  </cols>
  <sheetData>
    <row r="1" spans="1:5">
      <c r="A1" t="s">
        <v>98</v>
      </c>
      <c r="B1" t="s">
        <v>99</v>
      </c>
      <c r="C1" t="s">
        <v>100</v>
      </c>
      <c r="D1" t="s">
        <v>178</v>
      </c>
      <c r="E1" t="s">
        <v>179</v>
      </c>
    </row>
    <row r="2" spans="1:5">
      <c r="A2" t="s">
        <v>180</v>
      </c>
      <c r="B2" t="s">
        <v>182</v>
      </c>
      <c r="C2" t="s">
        <v>183</v>
      </c>
      <c r="D2" t="s">
        <v>181</v>
      </c>
      <c r="E2">
        <v>159</v>
      </c>
    </row>
    <row r="3" spans="1:5">
      <c r="A3" t="s">
        <v>184</v>
      </c>
      <c r="B3" t="s">
        <v>185</v>
      </c>
      <c r="C3" t="s">
        <v>186</v>
      </c>
      <c r="D3" t="s">
        <v>181</v>
      </c>
      <c r="E3">
        <v>159</v>
      </c>
    </row>
    <row r="4" spans="1:5">
      <c r="A4" t="s">
        <v>187</v>
      </c>
      <c r="B4" t="s">
        <v>189</v>
      </c>
      <c r="C4" t="s">
        <v>190</v>
      </c>
      <c r="D4" t="s">
        <v>188</v>
      </c>
      <c r="E4">
        <v>349</v>
      </c>
    </row>
    <row r="5" spans="1:5">
      <c r="A5" t="s">
        <v>191</v>
      </c>
      <c r="B5" t="s">
        <v>192</v>
      </c>
      <c r="C5" t="s">
        <v>193</v>
      </c>
      <c r="D5" t="s">
        <v>188</v>
      </c>
      <c r="E5">
        <v>599</v>
      </c>
    </row>
    <row r="6" spans="1:5">
      <c r="A6" t="s">
        <v>194</v>
      </c>
      <c r="B6" t="s">
        <v>196</v>
      </c>
      <c r="C6" t="s">
        <v>197</v>
      </c>
      <c r="D6" t="s">
        <v>195</v>
      </c>
      <c r="E6">
        <v>590</v>
      </c>
    </row>
    <row r="7" spans="1:5">
      <c r="A7" t="s">
        <v>198</v>
      </c>
      <c r="B7" t="s">
        <v>199</v>
      </c>
      <c r="C7" t="s">
        <v>200</v>
      </c>
      <c r="D7" t="s">
        <v>181</v>
      </c>
      <c r="E7">
        <v>199</v>
      </c>
    </row>
    <row r="8" spans="1:5">
      <c r="A8" t="s">
        <v>201</v>
      </c>
      <c r="B8" t="s">
        <v>202</v>
      </c>
      <c r="C8" t="s">
        <v>203</v>
      </c>
      <c r="D8" t="s">
        <v>195</v>
      </c>
      <c r="E8">
        <v>390</v>
      </c>
    </row>
    <row r="9" spans="1:5">
      <c r="A9" t="s">
        <v>204</v>
      </c>
      <c r="B9" t="s">
        <v>205</v>
      </c>
      <c r="C9" t="s">
        <v>206</v>
      </c>
      <c r="D9" t="s">
        <v>181</v>
      </c>
      <c r="E9">
        <v>159</v>
      </c>
    </row>
    <row r="10" spans="1:5">
      <c r="A10" t="s">
        <v>207</v>
      </c>
      <c r="B10" t="s">
        <v>208</v>
      </c>
      <c r="C10" t="s">
        <v>209</v>
      </c>
      <c r="D10" t="s">
        <v>188</v>
      </c>
      <c r="E10">
        <v>399</v>
      </c>
    </row>
    <row r="11" spans="1:5">
      <c r="A11" t="s">
        <v>210</v>
      </c>
      <c r="B11" t="s">
        <v>211</v>
      </c>
      <c r="C11" t="s">
        <v>212</v>
      </c>
      <c r="D11" t="s">
        <v>181</v>
      </c>
      <c r="E11">
        <v>139</v>
      </c>
    </row>
    <row r="12" spans="1:5">
      <c r="A12" t="s">
        <v>213</v>
      </c>
      <c r="B12" t="s">
        <v>211</v>
      </c>
      <c r="C12" t="s">
        <v>215</v>
      </c>
      <c r="D12" t="s">
        <v>214</v>
      </c>
      <c r="E12">
        <v>764</v>
      </c>
    </row>
    <row r="13" spans="1:5">
      <c r="A13" t="s">
        <v>216</v>
      </c>
      <c r="B13" t="s">
        <v>217</v>
      </c>
      <c r="C13" t="s">
        <v>218</v>
      </c>
      <c r="D13" t="s">
        <v>214</v>
      </c>
      <c r="E13">
        <v>799</v>
      </c>
    </row>
    <row r="14" spans="1:5">
      <c r="A14" t="s">
        <v>219</v>
      </c>
      <c r="B14" t="s">
        <v>220</v>
      </c>
      <c r="C14" t="s">
        <v>221</v>
      </c>
      <c r="D14" t="s">
        <v>188</v>
      </c>
      <c r="E14">
        <v>499</v>
      </c>
    </row>
    <row r="15" spans="1:5">
      <c r="A15" t="s">
        <v>222</v>
      </c>
      <c r="B15" t="s">
        <v>223</v>
      </c>
      <c r="C15" t="s">
        <v>224</v>
      </c>
      <c r="D15" t="s">
        <v>188</v>
      </c>
      <c r="E15">
        <v>159</v>
      </c>
    </row>
    <row r="16" spans="1:5">
      <c r="A16" t="s">
        <v>225</v>
      </c>
      <c r="B16" t="s">
        <v>226</v>
      </c>
      <c r="C16" t="s">
        <v>227</v>
      </c>
      <c r="D16" t="s">
        <v>195</v>
      </c>
      <c r="E16">
        <v>590</v>
      </c>
    </row>
    <row r="17" spans="1:5">
      <c r="A17" t="s">
        <v>228</v>
      </c>
      <c r="B17" t="s">
        <v>229</v>
      </c>
      <c r="C17" t="s">
        <v>230</v>
      </c>
      <c r="D17" t="s">
        <v>214</v>
      </c>
      <c r="E17">
        <v>461</v>
      </c>
    </row>
    <row r="18" spans="1:5">
      <c r="A18" t="s">
        <v>231</v>
      </c>
      <c r="B18" t="s">
        <v>233</v>
      </c>
      <c r="C18" t="s">
        <v>234</v>
      </c>
      <c r="D18" t="s">
        <v>232</v>
      </c>
      <c r="E18">
        <v>588</v>
      </c>
    </row>
    <row r="19" spans="1:5">
      <c r="A19" t="s">
        <v>235</v>
      </c>
      <c r="B19" t="s">
        <v>237</v>
      </c>
      <c r="C19" t="s">
        <v>238</v>
      </c>
      <c r="D19" t="s">
        <v>236</v>
      </c>
      <c r="E19">
        <v>229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35508-46B0-4CB6-9AE0-C7FB1C13A428}">
  <sheetPr codeName="Hárok36">
    <tabColor rgb="FF92D050"/>
  </sheetPr>
  <dimension ref="A1:E37"/>
  <sheetViews>
    <sheetView zoomScale="130" zoomScaleNormal="130" workbookViewId="0">
      <selection activeCell="B12" sqref="B12"/>
    </sheetView>
  </sheetViews>
  <sheetFormatPr defaultRowHeight="14.45"/>
  <cols>
    <col min="1" max="1" width="30" bestFit="1" customWidth="1"/>
    <col min="2" max="2" width="19.42578125" bestFit="1" customWidth="1"/>
    <col min="3" max="3" width="17" bestFit="1" customWidth="1"/>
    <col min="4" max="4" width="34" bestFit="1" customWidth="1"/>
    <col min="5" max="5" width="12.85546875" bestFit="1" customWidth="1"/>
  </cols>
  <sheetData>
    <row r="1" spans="1:5">
      <c r="A1" t="s">
        <v>98</v>
      </c>
      <c r="B1" t="s">
        <v>99</v>
      </c>
      <c r="C1" t="s">
        <v>100</v>
      </c>
      <c r="D1" t="s">
        <v>178</v>
      </c>
      <c r="E1" t="s">
        <v>179</v>
      </c>
    </row>
    <row r="2" spans="1:5">
      <c r="A2" t="s">
        <v>180</v>
      </c>
      <c r="D2" t="s">
        <v>181</v>
      </c>
    </row>
    <row r="3" spans="1:5">
      <c r="B3" t="s">
        <v>182</v>
      </c>
      <c r="C3" t="s">
        <v>183</v>
      </c>
      <c r="E3">
        <v>159</v>
      </c>
    </row>
    <row r="4" spans="1:5">
      <c r="A4" t="s">
        <v>184</v>
      </c>
      <c r="D4" t="s">
        <v>181</v>
      </c>
    </row>
    <row r="5" spans="1:5">
      <c r="B5" t="s">
        <v>185</v>
      </c>
      <c r="C5" t="s">
        <v>186</v>
      </c>
      <c r="E5">
        <v>159</v>
      </c>
    </row>
    <row r="6" spans="1:5">
      <c r="A6" t="s">
        <v>187</v>
      </c>
      <c r="D6" t="s">
        <v>188</v>
      </c>
    </row>
    <row r="7" spans="1:5">
      <c r="B7" t="s">
        <v>189</v>
      </c>
      <c r="C7" t="s">
        <v>190</v>
      </c>
      <c r="E7">
        <v>349</v>
      </c>
    </row>
    <row r="8" spans="1:5">
      <c r="A8" t="s">
        <v>191</v>
      </c>
      <c r="D8" t="s">
        <v>188</v>
      </c>
    </row>
    <row r="9" spans="1:5">
      <c r="B9" t="s">
        <v>192</v>
      </c>
      <c r="C9" t="s">
        <v>193</v>
      </c>
      <c r="E9">
        <v>599</v>
      </c>
    </row>
    <row r="10" spans="1:5">
      <c r="A10" t="s">
        <v>194</v>
      </c>
      <c r="D10" t="s">
        <v>195</v>
      </c>
    </row>
    <row r="11" spans="1:5">
      <c r="B11" t="s">
        <v>196</v>
      </c>
      <c r="C11" t="s">
        <v>197</v>
      </c>
      <c r="E11">
        <v>590</v>
      </c>
    </row>
    <row r="12" spans="1:5">
      <c r="A12" t="s">
        <v>198</v>
      </c>
      <c r="D12" t="s">
        <v>181</v>
      </c>
    </row>
    <row r="13" spans="1:5">
      <c r="B13" t="s">
        <v>199</v>
      </c>
      <c r="C13" t="s">
        <v>200</v>
      </c>
      <c r="E13">
        <v>199</v>
      </c>
    </row>
    <row r="14" spans="1:5">
      <c r="A14" t="s">
        <v>201</v>
      </c>
      <c r="D14" t="s">
        <v>195</v>
      </c>
    </row>
    <row r="15" spans="1:5">
      <c r="B15" t="s">
        <v>202</v>
      </c>
      <c r="C15" t="s">
        <v>203</v>
      </c>
      <c r="E15">
        <v>390</v>
      </c>
    </row>
    <row r="16" spans="1:5">
      <c r="A16" t="s">
        <v>204</v>
      </c>
      <c r="D16" t="s">
        <v>181</v>
      </c>
    </row>
    <row r="17" spans="1:5">
      <c r="B17" t="s">
        <v>205</v>
      </c>
      <c r="C17" t="s">
        <v>206</v>
      </c>
      <c r="E17">
        <v>159</v>
      </c>
    </row>
    <row r="18" spans="1:5">
      <c r="A18" t="s">
        <v>207</v>
      </c>
      <c r="D18" t="s">
        <v>188</v>
      </c>
    </row>
    <row r="19" spans="1:5">
      <c r="B19" t="s">
        <v>208</v>
      </c>
      <c r="C19" t="s">
        <v>209</v>
      </c>
      <c r="E19">
        <v>399</v>
      </c>
    </row>
    <row r="20" spans="1:5">
      <c r="A20" t="s">
        <v>210</v>
      </c>
      <c r="D20" t="s">
        <v>181</v>
      </c>
    </row>
    <row r="21" spans="1:5">
      <c r="B21" t="s">
        <v>211</v>
      </c>
      <c r="C21" t="s">
        <v>212</v>
      </c>
      <c r="E21">
        <v>139</v>
      </c>
    </row>
    <row r="22" spans="1:5">
      <c r="A22" t="s">
        <v>213</v>
      </c>
      <c r="D22" t="s">
        <v>214</v>
      </c>
    </row>
    <row r="23" spans="1:5">
      <c r="B23" t="s">
        <v>211</v>
      </c>
      <c r="C23" t="s">
        <v>215</v>
      </c>
      <c r="E23">
        <v>764</v>
      </c>
    </row>
    <row r="24" spans="1:5">
      <c r="A24" t="s">
        <v>216</v>
      </c>
      <c r="D24" t="s">
        <v>214</v>
      </c>
    </row>
    <row r="25" spans="1:5">
      <c r="B25" t="s">
        <v>217</v>
      </c>
      <c r="C25" t="s">
        <v>218</v>
      </c>
      <c r="E25">
        <v>799</v>
      </c>
    </row>
    <row r="26" spans="1:5">
      <c r="A26" t="s">
        <v>219</v>
      </c>
      <c r="D26" t="s">
        <v>188</v>
      </c>
    </row>
    <row r="27" spans="1:5">
      <c r="B27" t="s">
        <v>220</v>
      </c>
      <c r="C27" t="s">
        <v>221</v>
      </c>
      <c r="E27">
        <v>499</v>
      </c>
    </row>
    <row r="28" spans="1:5">
      <c r="A28" t="s">
        <v>222</v>
      </c>
      <c r="D28" t="s">
        <v>188</v>
      </c>
    </row>
    <row r="29" spans="1:5">
      <c r="B29" t="s">
        <v>223</v>
      </c>
      <c r="C29" t="s">
        <v>224</v>
      </c>
      <c r="E29">
        <v>159</v>
      </c>
    </row>
    <row r="30" spans="1:5">
      <c r="A30" t="s">
        <v>225</v>
      </c>
      <c r="D30" t="s">
        <v>195</v>
      </c>
    </row>
    <row r="31" spans="1:5">
      <c r="B31" t="s">
        <v>226</v>
      </c>
      <c r="C31" t="s">
        <v>227</v>
      </c>
      <c r="E31">
        <v>590</v>
      </c>
    </row>
    <row r="32" spans="1:5">
      <c r="A32" t="s">
        <v>228</v>
      </c>
      <c r="D32" t="s">
        <v>214</v>
      </c>
    </row>
    <row r="33" spans="1:5">
      <c r="B33" t="s">
        <v>229</v>
      </c>
      <c r="C33" t="s">
        <v>230</v>
      </c>
      <c r="E33">
        <v>461</v>
      </c>
    </row>
    <row r="34" spans="1:5">
      <c r="A34" t="s">
        <v>231</v>
      </c>
      <c r="D34" t="s">
        <v>232</v>
      </c>
    </row>
    <row r="35" spans="1:5">
      <c r="B35" t="s">
        <v>233</v>
      </c>
      <c r="C35" t="s">
        <v>234</v>
      </c>
      <c r="E35">
        <v>588</v>
      </c>
    </row>
    <row r="36" spans="1:5">
      <c r="A36" t="s">
        <v>235</v>
      </c>
      <c r="D36" t="s">
        <v>236</v>
      </c>
    </row>
    <row r="37" spans="1:5">
      <c r="B37" t="s">
        <v>237</v>
      </c>
      <c r="C37" t="s">
        <v>238</v>
      </c>
      <c r="E37">
        <v>229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9C336-A809-41FF-9A00-B423E663265F}">
  <sheetPr codeName="Hárok37">
    <tabColor rgb="FF92D050"/>
  </sheetPr>
  <dimension ref="A1:E37"/>
  <sheetViews>
    <sheetView zoomScale="130" zoomScaleNormal="130" workbookViewId="0">
      <selection activeCell="B12" sqref="B12"/>
    </sheetView>
  </sheetViews>
  <sheetFormatPr defaultRowHeight="14.45"/>
  <cols>
    <col min="1" max="1" width="30" bestFit="1" customWidth="1"/>
    <col min="2" max="2" width="19.42578125" bestFit="1" customWidth="1"/>
    <col min="3" max="3" width="17" bestFit="1" customWidth="1"/>
    <col min="4" max="4" width="34" bestFit="1" customWidth="1"/>
    <col min="5" max="5" width="12.85546875" bestFit="1" customWidth="1"/>
  </cols>
  <sheetData>
    <row r="1" spans="1:5">
      <c r="A1" t="s">
        <v>98</v>
      </c>
      <c r="B1" t="s">
        <v>99</v>
      </c>
      <c r="C1" t="s">
        <v>100</v>
      </c>
      <c r="D1" t="s">
        <v>178</v>
      </c>
      <c r="E1" t="s">
        <v>179</v>
      </c>
    </row>
    <row r="2" spans="1:5">
      <c r="A2" t="s">
        <v>180</v>
      </c>
      <c r="D2" t="s">
        <v>181</v>
      </c>
    </row>
    <row r="3" spans="1:5">
      <c r="B3" t="s">
        <v>182</v>
      </c>
      <c r="C3" t="s">
        <v>183</v>
      </c>
      <c r="E3">
        <v>159</v>
      </c>
    </row>
    <row r="4" spans="1:5">
      <c r="A4" t="s">
        <v>184</v>
      </c>
      <c r="D4" t="s">
        <v>181</v>
      </c>
    </row>
    <row r="5" spans="1:5">
      <c r="B5" t="s">
        <v>185</v>
      </c>
      <c r="C5" t="s">
        <v>186</v>
      </c>
      <c r="E5">
        <v>159</v>
      </c>
    </row>
    <row r="6" spans="1:5">
      <c r="A6" t="s">
        <v>187</v>
      </c>
      <c r="D6" t="s">
        <v>188</v>
      </c>
    </row>
    <row r="7" spans="1:5">
      <c r="B7" t="s">
        <v>189</v>
      </c>
      <c r="C7" t="s">
        <v>190</v>
      </c>
      <c r="E7">
        <v>349</v>
      </c>
    </row>
    <row r="8" spans="1:5">
      <c r="A8" t="s">
        <v>191</v>
      </c>
      <c r="D8" t="s">
        <v>188</v>
      </c>
    </row>
    <row r="9" spans="1:5">
      <c r="B9" t="s">
        <v>192</v>
      </c>
      <c r="C9" t="s">
        <v>193</v>
      </c>
      <c r="E9">
        <v>599</v>
      </c>
    </row>
    <row r="10" spans="1:5">
      <c r="A10" t="s">
        <v>194</v>
      </c>
      <c r="D10" t="s">
        <v>195</v>
      </c>
    </row>
    <row r="11" spans="1:5">
      <c r="B11" t="s">
        <v>196</v>
      </c>
      <c r="C11" t="s">
        <v>197</v>
      </c>
      <c r="E11">
        <v>590</v>
      </c>
    </row>
    <row r="12" spans="1:5">
      <c r="A12" t="s">
        <v>198</v>
      </c>
      <c r="D12" t="s">
        <v>181</v>
      </c>
    </row>
    <row r="13" spans="1:5">
      <c r="B13" t="s">
        <v>199</v>
      </c>
      <c r="C13" t="s">
        <v>200</v>
      </c>
      <c r="E13">
        <v>199</v>
      </c>
    </row>
    <row r="14" spans="1:5">
      <c r="A14" t="s">
        <v>201</v>
      </c>
      <c r="D14" t="s">
        <v>195</v>
      </c>
    </row>
    <row r="15" spans="1:5">
      <c r="B15" t="s">
        <v>202</v>
      </c>
      <c r="C15" t="s">
        <v>203</v>
      </c>
      <c r="E15">
        <v>390</v>
      </c>
    </row>
    <row r="16" spans="1:5">
      <c r="A16" t="s">
        <v>204</v>
      </c>
      <c r="D16" t="s">
        <v>181</v>
      </c>
    </row>
    <row r="17" spans="1:5">
      <c r="B17" t="s">
        <v>205</v>
      </c>
      <c r="C17" t="s">
        <v>206</v>
      </c>
      <c r="E17">
        <v>159</v>
      </c>
    </row>
    <row r="18" spans="1:5">
      <c r="A18" t="s">
        <v>207</v>
      </c>
      <c r="D18" t="s">
        <v>188</v>
      </c>
    </row>
    <row r="19" spans="1:5">
      <c r="B19" t="s">
        <v>208</v>
      </c>
      <c r="C19" t="s">
        <v>209</v>
      </c>
      <c r="E19">
        <v>399</v>
      </c>
    </row>
    <row r="20" spans="1:5">
      <c r="A20" t="s">
        <v>210</v>
      </c>
      <c r="D20" t="s">
        <v>181</v>
      </c>
    </row>
    <row r="21" spans="1:5">
      <c r="B21" t="s">
        <v>211</v>
      </c>
      <c r="C21" t="s">
        <v>212</v>
      </c>
      <c r="E21">
        <v>139</v>
      </c>
    </row>
    <row r="22" spans="1:5">
      <c r="A22" t="s">
        <v>213</v>
      </c>
      <c r="D22" t="s">
        <v>214</v>
      </c>
    </row>
    <row r="23" spans="1:5">
      <c r="B23" t="s">
        <v>211</v>
      </c>
      <c r="C23" t="s">
        <v>215</v>
      </c>
      <c r="E23">
        <v>764</v>
      </c>
    </row>
    <row r="24" spans="1:5">
      <c r="A24" t="s">
        <v>216</v>
      </c>
      <c r="D24" t="s">
        <v>214</v>
      </c>
    </row>
    <row r="25" spans="1:5">
      <c r="B25" t="s">
        <v>217</v>
      </c>
      <c r="C25" t="s">
        <v>218</v>
      </c>
      <c r="E25">
        <v>799</v>
      </c>
    </row>
    <row r="26" spans="1:5">
      <c r="A26" t="s">
        <v>219</v>
      </c>
      <c r="D26" t="s">
        <v>188</v>
      </c>
    </row>
    <row r="27" spans="1:5">
      <c r="B27" t="s">
        <v>220</v>
      </c>
      <c r="C27" t="s">
        <v>221</v>
      </c>
      <c r="E27">
        <v>499</v>
      </c>
    </row>
    <row r="28" spans="1:5">
      <c r="A28" t="s">
        <v>222</v>
      </c>
      <c r="D28" t="s">
        <v>188</v>
      </c>
    </row>
    <row r="29" spans="1:5">
      <c r="B29" t="s">
        <v>223</v>
      </c>
      <c r="C29" t="s">
        <v>224</v>
      </c>
      <c r="E29">
        <v>159</v>
      </c>
    </row>
    <row r="30" spans="1:5">
      <c r="A30" t="s">
        <v>225</v>
      </c>
      <c r="D30" t="s">
        <v>195</v>
      </c>
    </row>
    <row r="31" spans="1:5">
      <c r="B31" t="s">
        <v>226</v>
      </c>
      <c r="C31" t="s">
        <v>227</v>
      </c>
      <c r="E31">
        <v>590</v>
      </c>
    </row>
    <row r="32" spans="1:5">
      <c r="A32" t="s">
        <v>228</v>
      </c>
      <c r="D32" t="s">
        <v>214</v>
      </c>
    </row>
    <row r="33" spans="1:5">
      <c r="B33" t="s">
        <v>229</v>
      </c>
      <c r="C33" t="s">
        <v>230</v>
      </c>
      <c r="E33">
        <v>461</v>
      </c>
    </row>
    <row r="34" spans="1:5">
      <c r="A34" t="s">
        <v>231</v>
      </c>
      <c r="D34" t="s">
        <v>232</v>
      </c>
    </row>
    <row r="35" spans="1:5">
      <c r="B35" t="s">
        <v>233</v>
      </c>
      <c r="C35" t="s">
        <v>234</v>
      </c>
      <c r="E35">
        <v>588</v>
      </c>
    </row>
    <row r="36" spans="1:5">
      <c r="A36" t="s">
        <v>235</v>
      </c>
      <c r="D36" t="s">
        <v>236</v>
      </c>
    </row>
    <row r="37" spans="1:5">
      <c r="B37" t="s">
        <v>237</v>
      </c>
      <c r="C37" t="s">
        <v>238</v>
      </c>
      <c r="E37">
        <v>229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4A8C1-680C-4F95-89ED-C8E92C793744}">
  <sheetPr codeName="Hárok35">
    <tabColor rgb="FF92D050"/>
  </sheetPr>
  <dimension ref="A1:E37"/>
  <sheetViews>
    <sheetView zoomScale="130" zoomScaleNormal="130" workbookViewId="0">
      <selection activeCell="B12" sqref="B12"/>
    </sheetView>
  </sheetViews>
  <sheetFormatPr defaultRowHeight="14.45"/>
  <cols>
    <col min="1" max="1" width="30" bestFit="1" customWidth="1"/>
    <col min="2" max="2" width="19.42578125" bestFit="1" customWidth="1"/>
    <col min="3" max="3" width="17" bestFit="1" customWidth="1"/>
    <col min="4" max="4" width="34" bestFit="1" customWidth="1"/>
    <col min="5" max="5" width="12.85546875" bestFit="1" customWidth="1"/>
  </cols>
  <sheetData>
    <row r="1" spans="1:5">
      <c r="A1" t="s">
        <v>98</v>
      </c>
      <c r="B1" t="s">
        <v>99</v>
      </c>
      <c r="C1" t="s">
        <v>100</v>
      </c>
      <c r="D1" t="s">
        <v>178</v>
      </c>
      <c r="E1" t="s">
        <v>179</v>
      </c>
    </row>
    <row r="2" spans="1:5">
      <c r="A2" t="s">
        <v>180</v>
      </c>
      <c r="D2" t="s">
        <v>181</v>
      </c>
    </row>
    <row r="3" spans="1:5">
      <c r="B3" t="s">
        <v>182</v>
      </c>
      <c r="C3" t="s">
        <v>183</v>
      </c>
      <c r="E3">
        <v>159</v>
      </c>
    </row>
    <row r="4" spans="1:5">
      <c r="A4" t="s">
        <v>184</v>
      </c>
      <c r="D4" t="s">
        <v>181</v>
      </c>
    </row>
    <row r="5" spans="1:5">
      <c r="B5" t="s">
        <v>185</v>
      </c>
      <c r="C5" t="s">
        <v>186</v>
      </c>
      <c r="E5">
        <v>159</v>
      </c>
    </row>
    <row r="6" spans="1:5">
      <c r="A6" t="s">
        <v>187</v>
      </c>
      <c r="D6" t="s">
        <v>188</v>
      </c>
    </row>
    <row r="7" spans="1:5">
      <c r="B7" t="s">
        <v>189</v>
      </c>
      <c r="C7" t="s">
        <v>190</v>
      </c>
      <c r="E7">
        <v>349</v>
      </c>
    </row>
    <row r="8" spans="1:5">
      <c r="A8" t="s">
        <v>191</v>
      </c>
      <c r="D8" t="s">
        <v>188</v>
      </c>
    </row>
    <row r="9" spans="1:5">
      <c r="B9" t="s">
        <v>192</v>
      </c>
      <c r="C9" t="s">
        <v>193</v>
      </c>
      <c r="E9">
        <v>599</v>
      </c>
    </row>
    <row r="10" spans="1:5">
      <c r="A10" t="s">
        <v>194</v>
      </c>
      <c r="D10" t="s">
        <v>195</v>
      </c>
    </row>
    <row r="11" spans="1:5">
      <c r="B11" t="s">
        <v>196</v>
      </c>
      <c r="C11" t="s">
        <v>197</v>
      </c>
      <c r="E11">
        <v>590</v>
      </c>
    </row>
    <row r="12" spans="1:5">
      <c r="A12" t="s">
        <v>198</v>
      </c>
      <c r="D12" t="s">
        <v>181</v>
      </c>
    </row>
    <row r="13" spans="1:5">
      <c r="B13" t="s">
        <v>199</v>
      </c>
      <c r="C13" t="s">
        <v>200</v>
      </c>
      <c r="E13">
        <v>199</v>
      </c>
    </row>
    <row r="14" spans="1:5">
      <c r="A14" t="s">
        <v>201</v>
      </c>
      <c r="D14" t="s">
        <v>195</v>
      </c>
    </row>
    <row r="15" spans="1:5">
      <c r="B15" t="s">
        <v>202</v>
      </c>
      <c r="C15" t="s">
        <v>203</v>
      </c>
      <c r="E15">
        <v>390</v>
      </c>
    </row>
    <row r="16" spans="1:5">
      <c r="A16" t="s">
        <v>204</v>
      </c>
      <c r="D16" t="s">
        <v>181</v>
      </c>
    </row>
    <row r="17" spans="1:5">
      <c r="B17" t="s">
        <v>205</v>
      </c>
      <c r="C17" t="s">
        <v>206</v>
      </c>
      <c r="E17">
        <v>159</v>
      </c>
    </row>
    <row r="18" spans="1:5">
      <c r="A18" t="s">
        <v>207</v>
      </c>
      <c r="D18" t="s">
        <v>188</v>
      </c>
    </row>
    <row r="19" spans="1:5">
      <c r="B19" t="s">
        <v>208</v>
      </c>
      <c r="C19" t="s">
        <v>209</v>
      </c>
      <c r="E19">
        <v>399</v>
      </c>
    </row>
    <row r="20" spans="1:5">
      <c r="A20" t="s">
        <v>210</v>
      </c>
      <c r="D20" t="s">
        <v>181</v>
      </c>
    </row>
    <row r="21" spans="1:5">
      <c r="B21" t="s">
        <v>211</v>
      </c>
      <c r="C21" t="s">
        <v>212</v>
      </c>
      <c r="E21">
        <v>139</v>
      </c>
    </row>
    <row r="22" spans="1:5">
      <c r="A22" t="s">
        <v>213</v>
      </c>
      <c r="D22" t="s">
        <v>214</v>
      </c>
    </row>
    <row r="23" spans="1:5">
      <c r="B23" t="s">
        <v>211</v>
      </c>
      <c r="C23" t="s">
        <v>215</v>
      </c>
      <c r="E23">
        <v>764</v>
      </c>
    </row>
    <row r="24" spans="1:5">
      <c r="A24" t="s">
        <v>216</v>
      </c>
      <c r="D24" t="s">
        <v>214</v>
      </c>
    </row>
    <row r="25" spans="1:5">
      <c r="B25" t="s">
        <v>217</v>
      </c>
      <c r="C25" t="s">
        <v>218</v>
      </c>
      <c r="E25">
        <v>799</v>
      </c>
    </row>
    <row r="26" spans="1:5">
      <c r="A26" t="s">
        <v>219</v>
      </c>
      <c r="D26" t="s">
        <v>188</v>
      </c>
    </row>
    <row r="27" spans="1:5">
      <c r="B27" t="s">
        <v>220</v>
      </c>
      <c r="C27" t="s">
        <v>221</v>
      </c>
      <c r="E27">
        <v>499</v>
      </c>
    </row>
    <row r="28" spans="1:5">
      <c r="A28" t="s">
        <v>222</v>
      </c>
      <c r="D28" t="s">
        <v>188</v>
      </c>
    </row>
    <row r="29" spans="1:5">
      <c r="B29" t="s">
        <v>223</v>
      </c>
      <c r="C29" t="s">
        <v>224</v>
      </c>
      <c r="E29">
        <v>159</v>
      </c>
    </row>
    <row r="30" spans="1:5">
      <c r="A30" t="s">
        <v>225</v>
      </c>
      <c r="D30" t="s">
        <v>195</v>
      </c>
    </row>
    <row r="31" spans="1:5">
      <c r="B31" t="s">
        <v>226</v>
      </c>
      <c r="C31" t="s">
        <v>227</v>
      </c>
      <c r="E31">
        <v>590</v>
      </c>
    </row>
    <row r="32" spans="1:5">
      <c r="A32" t="s">
        <v>228</v>
      </c>
      <c r="D32" t="s">
        <v>214</v>
      </c>
    </row>
    <row r="33" spans="1:5">
      <c r="B33" t="s">
        <v>229</v>
      </c>
      <c r="C33" t="s">
        <v>230</v>
      </c>
      <c r="E33">
        <v>461</v>
      </c>
    </row>
    <row r="34" spans="1:5">
      <c r="A34" t="s">
        <v>231</v>
      </c>
      <c r="D34" t="s">
        <v>232</v>
      </c>
    </row>
    <row r="35" spans="1:5">
      <c r="B35" t="s">
        <v>233</v>
      </c>
      <c r="C35" t="s">
        <v>234</v>
      </c>
      <c r="E35">
        <v>588</v>
      </c>
    </row>
    <row r="36" spans="1:5">
      <c r="A36" t="s">
        <v>235</v>
      </c>
      <c r="D36" t="s">
        <v>236</v>
      </c>
    </row>
    <row r="37" spans="1:5">
      <c r="B37" t="s">
        <v>237</v>
      </c>
      <c r="C37" t="s">
        <v>238</v>
      </c>
      <c r="E37">
        <v>229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Miroslav Reiter</dc:creator>
  <cp:keywords/>
  <dc:description/>
  <cp:lastModifiedBy>Miroslav Reiter</cp:lastModifiedBy>
  <cp:revision/>
  <dcterms:created xsi:type="dcterms:W3CDTF">2021-05-11T19:10:14Z</dcterms:created>
  <dcterms:modified xsi:type="dcterms:W3CDTF">2021-10-14T15:59:35Z</dcterms:modified>
  <cp:category/>
  <cp:contentStatus/>
</cp:coreProperties>
</file>